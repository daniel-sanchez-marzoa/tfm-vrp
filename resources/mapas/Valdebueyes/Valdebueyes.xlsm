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oviedo-my.sharepoint.com/personal/puente_uniovi_es/Documents/2021-22/CAE/CAE-Prácticas-2022/prac 03 - Opt4J multi y práctica Grupal/mapas/Valdebueyes/"/>
    </mc:Choice>
  </mc:AlternateContent>
  <xr:revisionPtr revIDLastSave="0" documentId="13_ncr:1_{40022346-062C-478D-B761-1A9179C3445E}" xr6:coauthVersionLast="47" xr6:coauthVersionMax="47" xr10:uidLastSave="{00000000-0000-0000-0000-000000000000}"/>
  <bookViews>
    <workbookView xWindow="3120" yWindow="3120" windowWidth="28800" windowHeight="15435" xr2:uid="{00000000-000D-0000-FFFF-FFFF00000000}"/>
  </bookViews>
  <sheets>
    <sheet name="Barridos" sheetId="1" r:id="rId1"/>
    <sheet name="Barridos (2)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5" i="1" l="1"/>
  <c r="F7" i="2"/>
  <c r="G5" i="2"/>
  <c r="H4" i="2"/>
  <c r="F4" i="1"/>
  <c r="G3" i="1"/>
  <c r="H7" i="2"/>
  <c r="G4" i="2"/>
  <c r="G3" i="2"/>
  <c r="H4" i="1"/>
  <c r="H6" i="2"/>
  <c r="G7" i="2"/>
  <c r="H3" i="2"/>
  <c r="G2" i="1"/>
  <c r="H2" i="1"/>
  <c r="G6" i="2"/>
  <c r="H5" i="2"/>
  <c r="G2" i="2"/>
  <c r="H3" i="1"/>
  <c r="G4" i="1"/>
  <c r="I2" i="2" l="1"/>
  <c r="I2" i="1"/>
</calcChain>
</file>

<file path=xl/sharedStrings.xml><?xml version="1.0" encoding="utf-8"?>
<sst xmlns="http://schemas.openxmlformats.org/spreadsheetml/2006/main" count="54" uniqueCount="32">
  <si>
    <t>Barrido</t>
  </si>
  <si>
    <t xml:space="preserve">X1	</t>
  </si>
  <si>
    <t xml:space="preserve">	Y1	</t>
  </si>
  <si>
    <t xml:space="preserve">	X2	</t>
  </si>
  <si>
    <t xml:space="preserve">	Y2</t>
  </si>
  <si>
    <t>Vuelo no útil</t>
  </si>
  <si>
    <t>Dist.Barrido</t>
  </si>
  <si>
    <t>Dist+Retorno</t>
  </si>
  <si>
    <t>X</t>
  </si>
  <si>
    <t>Y</t>
  </si>
  <si>
    <t>Estación de Control:</t>
  </si>
  <si>
    <t>Dist.VueloCrucero</t>
  </si>
  <si>
    <t>metros</t>
  </si>
  <si>
    <r>
      <t>Ruta: (EC</t>
    </r>
    <r>
      <rPr>
        <b/>
        <sz val="11"/>
        <color rgb="FFFF000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B3) B3 (B3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B2) B2 (B2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B1) B1 (B1</t>
    </r>
    <r>
      <rPr>
        <b/>
        <sz val="11"/>
        <color rgb="FFFF000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EC)</t>
    </r>
  </si>
  <si>
    <t>Distancia</t>
  </si>
  <si>
    <t>B3</t>
  </si>
  <si>
    <t>B2</t>
  </si>
  <si>
    <t>B1</t>
  </si>
  <si>
    <t>Vuelo útil</t>
  </si>
  <si>
    <r>
      <t xml:space="preserve">Barrido </t>
    </r>
    <r>
      <rPr>
        <b/>
        <sz val="11"/>
        <color theme="1"/>
        <rFont val="Calibri"/>
        <family val="2"/>
        <scheme val="minor"/>
      </rPr>
      <t>Bi</t>
    </r>
  </si>
  <si>
    <t>Vuelos a minimizar</t>
  </si>
  <si>
    <r>
      <t xml:space="preserve">conexión barridos </t>
    </r>
    <r>
      <rPr>
        <b/>
        <sz val="11"/>
        <color theme="1"/>
        <rFont val="Calibri"/>
        <family val="2"/>
        <scheme val="minor"/>
      </rPr>
      <t>Bi</t>
    </r>
    <r>
      <rPr>
        <sz val="11"/>
        <color theme="1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Bi-1</t>
    </r>
  </si>
  <si>
    <t>SC-&gt;B3</t>
  </si>
  <si>
    <t>B1 -&gt; SC</t>
  </si>
  <si>
    <t xml:space="preserve">Ruta: </t>
  </si>
  <si>
    <r>
      <t>(EC</t>
    </r>
    <r>
      <rPr>
        <b/>
        <sz val="11"/>
        <color rgb="FFFF000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B1) B1 (B1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B2) B2 (B2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 xml:space="preserve">B3) B3 (B2-&gt;B3) B3 </t>
    </r>
  </si>
  <si>
    <r>
      <t>(B3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B4) B4 (B4</t>
    </r>
    <r>
      <rPr>
        <b/>
        <sz val="11"/>
        <color rgb="FF00B050"/>
        <rFont val="Calibri"/>
        <family val="2"/>
        <scheme val="minor"/>
      </rPr>
      <t>-&gt;</t>
    </r>
    <r>
      <rPr>
        <b/>
        <sz val="11"/>
        <color theme="1"/>
        <rFont val="Calibri"/>
        <family val="2"/>
        <scheme val="minor"/>
      </rPr>
      <t>B5) B5 (B5-&gt;B6) B6 (B6</t>
    </r>
    <r>
      <rPr>
        <b/>
        <sz val="11"/>
        <color rgb="FFFF0000"/>
        <rFont val="Calibri"/>
        <family val="2"/>
        <scheme val="minor"/>
      </rPr>
      <t>-&gt;</t>
    </r>
    <r>
      <rPr>
        <b/>
        <sz val="11"/>
        <rFont val="Calibri"/>
        <family val="2"/>
        <scheme val="minor"/>
      </rPr>
      <t>EC</t>
    </r>
    <r>
      <rPr>
        <b/>
        <sz val="11"/>
        <color theme="1"/>
        <rFont val="Calibri"/>
        <family val="2"/>
        <scheme val="minor"/>
      </rPr>
      <t xml:space="preserve">)  </t>
    </r>
  </si>
  <si>
    <t>B6</t>
  </si>
  <si>
    <t>B5</t>
  </si>
  <si>
    <t>B4</t>
  </si>
  <si>
    <t>SC-&gt;B1</t>
  </si>
  <si>
    <t>B6 -&gt; 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</si>
</sst>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2">
    <xf numFmtId="0" fontId="0" fillId="0" borderId="0" xfId="0"/>
    <xf numFmtId="3" fontId="0" fillId="0" borderId="0" xfId="0" applyNumberFormat="1"/>
    <xf numFmtId="0" fontId="16" fillId="0" borderId="0" xfId="0" applyFont="1"/>
    <xf numFmtId="0" fontId="16" fillId="0" borderId="10" xfId="0" applyFont="1" applyBorder="1"/>
    <xf numFmtId="0" fontId="16" fillId="0" borderId="20" xfId="0" applyFont="1" applyBorder="1"/>
    <xf numFmtId="164" fontId="16" fillId="0" borderId="20" xfId="0" applyNumberFormat="1" applyFont="1" applyBorder="1"/>
    <xf numFmtId="164" fontId="0" fillId="0" borderId="0" xfId="0" applyNumberFormat="1"/>
    <xf numFmtId="1" fontId="0" fillId="0" borderId="18" xfId="0" applyNumberFormat="1" applyBorder="1" applyAlignment="1">
      <alignment horizontal="left"/>
    </xf>
    <xf numFmtId="1" fontId="0" fillId="0" borderId="14" xfId="0" applyNumberFormat="1" applyBorder="1" applyAlignment="1">
      <alignment horizontal="left"/>
    </xf>
    <xf numFmtId="1" fontId="0" fillId="0" borderId="16" xfId="0" applyNumberFormat="1" applyBorder="1" applyAlignment="1">
      <alignment horizontal="left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12" xfId="0" applyFont="1" applyBorder="1" applyAlignment="1">
      <alignment horizontal="center"/>
    </xf>
    <xf numFmtId="9" fontId="16" fillId="0" borderId="12" xfId="1" applyFont="1" applyBorder="1" applyAlignment="1">
      <alignment horizontal="center"/>
    </xf>
    <xf numFmtId="3" fontId="16" fillId="0" borderId="12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21" xfId="0" applyFont="1" applyBorder="1"/>
    <xf numFmtId="3" fontId="0" fillId="0" borderId="22" xfId="0" applyNumberFormat="1" applyBorder="1"/>
    <xf numFmtId="3" fontId="0" fillId="0" borderId="0" xfId="0" applyNumberFormat="1" applyAlignment="1">
      <alignment horizontal="center"/>
    </xf>
    <xf numFmtId="0" fontId="0" fillId="0" borderId="23" xfId="0" applyBorder="1"/>
    <xf numFmtId="1" fontId="0" fillId="0" borderId="0" xfId="0" applyNumberFormat="1" applyAlignment="1">
      <alignment horizontal="left"/>
    </xf>
    <xf numFmtId="1" fontId="0" fillId="0" borderId="0" xfId="0" applyNumberFormat="1"/>
    <xf numFmtId="3" fontId="20" fillId="0" borderId="0" xfId="0" applyNumberFormat="1" applyFont="1"/>
    <xf numFmtId="0" fontId="21" fillId="0" borderId="0" xfId="0" applyFont="1"/>
    <xf numFmtId="3" fontId="14" fillId="0" borderId="0" xfId="0" applyNumberFormat="1" applyFont="1"/>
    <xf numFmtId="165" fontId="16" fillId="0" borderId="19" xfId="0" applyNumberFormat="1" applyFont="1" applyBorder="1"/>
    <xf numFmtId="165" fontId="0" fillId="0" borderId="17" xfId="0" applyNumberFormat="1" applyBorder="1" applyAlignment="1">
      <alignment horizontal="left"/>
    </xf>
    <xf numFmtId="165" fontId="0" fillId="0" borderId="13" xfId="0" applyNumberFormat="1" applyBorder="1" applyAlignment="1">
      <alignment horizontal="left"/>
    </xf>
    <xf numFmtId="165" fontId="0" fillId="0" borderId="15" xfId="0" applyNumberFormat="1" applyBorder="1" applyAlignment="1">
      <alignment horizontal="left"/>
    </xf>
    <xf numFmtId="165" fontId="0" fillId="0" borderId="0" xfId="0" applyNumberFormat="1"/>
    <xf numFmtId="3" fontId="16" fillId="0" borderId="0" xfId="0" applyNumberFormat="1" applyFont="1" applyAlignment="1">
      <alignment horizontal="right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15</xdr:row>
      <xdr:rowOff>104775</xdr:rowOff>
    </xdr:from>
    <xdr:to>
      <xdr:col>13</xdr:col>
      <xdr:colOff>0</xdr:colOff>
      <xdr:row>15</xdr:row>
      <xdr:rowOff>104775</xdr:rowOff>
    </xdr:to>
    <xdr:cxnSp macro="">
      <xdr:nvCxnSpPr>
        <xdr:cNvPr id="8" name="7 Conector recto de flech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5314950" y="304800"/>
          <a:ext cx="2743200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15</xdr:row>
      <xdr:rowOff>76200</xdr:rowOff>
    </xdr:from>
    <xdr:to>
      <xdr:col>13</xdr:col>
      <xdr:colOff>9525</xdr:colOff>
      <xdr:row>17</xdr:row>
      <xdr:rowOff>76200</xdr:rowOff>
    </xdr:to>
    <xdr:cxnSp macro="">
      <xdr:nvCxnSpPr>
        <xdr:cNvPr id="10" name="9 Conector recto de flech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8220075" y="2971800"/>
          <a:ext cx="0" cy="38100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895350</xdr:colOff>
      <xdr:row>17</xdr:row>
      <xdr:rowOff>104775</xdr:rowOff>
    </xdr:from>
    <xdr:to>
      <xdr:col>13</xdr:col>
      <xdr:colOff>9525</xdr:colOff>
      <xdr:row>17</xdr:row>
      <xdr:rowOff>104775</xdr:rowOff>
    </xdr:to>
    <xdr:cxnSp macro="">
      <xdr:nvCxnSpPr>
        <xdr:cNvPr id="12" name="11 Conector recto de flech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5314950" y="704850"/>
          <a:ext cx="2752725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17</xdr:row>
      <xdr:rowOff>95250</xdr:rowOff>
    </xdr:from>
    <xdr:to>
      <xdr:col>10</xdr:col>
      <xdr:colOff>0</xdr:colOff>
      <xdr:row>19</xdr:row>
      <xdr:rowOff>104775</xdr:rowOff>
    </xdr:to>
    <xdr:cxnSp macro="">
      <xdr:nvCxnSpPr>
        <xdr:cNvPr id="13" name="12 Conector recto de flecha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324475" y="695325"/>
          <a:ext cx="0" cy="390525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895350</xdr:colOff>
      <xdr:row>19</xdr:row>
      <xdr:rowOff>104775</xdr:rowOff>
    </xdr:from>
    <xdr:to>
      <xdr:col>13</xdr:col>
      <xdr:colOff>0</xdr:colOff>
      <xdr:row>19</xdr:row>
      <xdr:rowOff>104775</xdr:rowOff>
    </xdr:to>
    <xdr:cxnSp macro="">
      <xdr:nvCxnSpPr>
        <xdr:cNvPr id="14" name="13 Conector recto de flecha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5314950" y="1085850"/>
          <a:ext cx="2743200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969596</xdr:colOff>
      <xdr:row>12</xdr:row>
      <xdr:rowOff>162237</xdr:rowOff>
    </xdr:from>
    <xdr:to>
      <xdr:col>13</xdr:col>
      <xdr:colOff>1</xdr:colOff>
      <xdr:row>19</xdr:row>
      <xdr:rowOff>123826</xdr:rowOff>
    </xdr:to>
    <xdr:cxnSp macro="">
      <xdr:nvCxnSpPr>
        <xdr:cNvPr id="15" name="14 Conector recto de flech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endCxn id="19" idx="5"/>
        </xdr:cNvCxnSpPr>
      </xdr:nvCxnSpPr>
      <xdr:spPr>
        <a:xfrm flipH="1" flipV="1">
          <a:off x="5813059" y="2343462"/>
          <a:ext cx="2821355" cy="1237939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840765</xdr:colOff>
      <xdr:row>12</xdr:row>
      <xdr:rowOff>87190</xdr:rowOff>
    </xdr:from>
    <xdr:to>
      <xdr:col>10</xdr:col>
      <xdr:colOff>20150</xdr:colOff>
      <xdr:row>12</xdr:row>
      <xdr:rowOff>175113</xdr:rowOff>
    </xdr:to>
    <xdr:sp macro="" textlink="">
      <xdr:nvSpPr>
        <xdr:cNvPr id="19" name="18 Elipse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684228" y="2268415"/>
          <a:ext cx="150935" cy="8792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763466</xdr:colOff>
      <xdr:row>1</xdr:row>
      <xdr:rowOff>51288</xdr:rowOff>
    </xdr:from>
    <xdr:to>
      <xdr:col>9</xdr:col>
      <xdr:colOff>851389</xdr:colOff>
      <xdr:row>1</xdr:row>
      <xdr:rowOff>139211</xdr:rowOff>
    </xdr:to>
    <xdr:sp macro="" textlink="">
      <xdr:nvSpPr>
        <xdr:cNvPr id="20" name="19 Elip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183066" y="51288"/>
          <a:ext cx="87923" cy="8792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114300</xdr:colOff>
      <xdr:row>21</xdr:row>
      <xdr:rowOff>85725</xdr:rowOff>
    </xdr:from>
    <xdr:to>
      <xdr:col>11</xdr:col>
      <xdr:colOff>542925</xdr:colOff>
      <xdr:row>21</xdr:row>
      <xdr:rowOff>85725</xdr:rowOff>
    </xdr:to>
    <xdr:cxnSp macro="">
      <xdr:nvCxnSpPr>
        <xdr:cNvPr id="24" name="7 Conector recto de flecha">
          <a:extLst>
            <a:ext uri="{FF2B5EF4-FFF2-40B4-BE49-F238E27FC236}">
              <a16:creationId xmlns:a16="http://schemas.microsoft.com/office/drawing/2014/main" id="{EE2182F5-9E96-4225-9BB6-418353154E47}"/>
            </a:ext>
          </a:extLst>
        </xdr:cNvPr>
        <xdr:cNvCxnSpPr/>
      </xdr:nvCxnSpPr>
      <xdr:spPr>
        <a:xfrm>
          <a:off x="6800850" y="3924300"/>
          <a:ext cx="428625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22</xdr:row>
      <xdr:rowOff>104775</xdr:rowOff>
    </xdr:from>
    <xdr:to>
      <xdr:col>11</xdr:col>
      <xdr:colOff>542925</xdr:colOff>
      <xdr:row>22</xdr:row>
      <xdr:rowOff>104775</xdr:rowOff>
    </xdr:to>
    <xdr:cxnSp macro="">
      <xdr:nvCxnSpPr>
        <xdr:cNvPr id="29" name="7 Conector recto de flecha">
          <a:extLst>
            <a:ext uri="{FF2B5EF4-FFF2-40B4-BE49-F238E27FC236}">
              <a16:creationId xmlns:a16="http://schemas.microsoft.com/office/drawing/2014/main" id="{2E153714-98AE-4C69-90D8-11AFBDD26F60}"/>
            </a:ext>
          </a:extLst>
        </xdr:cNvPr>
        <xdr:cNvCxnSpPr/>
      </xdr:nvCxnSpPr>
      <xdr:spPr>
        <a:xfrm>
          <a:off x="6800850" y="4133850"/>
          <a:ext cx="428625" cy="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23</xdr:row>
      <xdr:rowOff>114300</xdr:rowOff>
    </xdr:from>
    <xdr:to>
      <xdr:col>11</xdr:col>
      <xdr:colOff>542925</xdr:colOff>
      <xdr:row>23</xdr:row>
      <xdr:rowOff>114300</xdr:rowOff>
    </xdr:to>
    <xdr:cxnSp macro="">
      <xdr:nvCxnSpPr>
        <xdr:cNvPr id="30" name="7 Conector recto de flecha">
          <a:extLst>
            <a:ext uri="{FF2B5EF4-FFF2-40B4-BE49-F238E27FC236}">
              <a16:creationId xmlns:a16="http://schemas.microsoft.com/office/drawing/2014/main" id="{85A088E7-F2D3-4979-B301-D54C2A78AE37}"/>
            </a:ext>
          </a:extLst>
        </xdr:cNvPr>
        <xdr:cNvCxnSpPr/>
      </xdr:nvCxnSpPr>
      <xdr:spPr>
        <a:xfrm>
          <a:off x="6800850" y="4333875"/>
          <a:ext cx="428625" cy="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24</xdr:row>
      <xdr:rowOff>114300</xdr:rowOff>
    </xdr:from>
    <xdr:to>
      <xdr:col>11</xdr:col>
      <xdr:colOff>542925</xdr:colOff>
      <xdr:row>24</xdr:row>
      <xdr:rowOff>114300</xdr:rowOff>
    </xdr:to>
    <xdr:cxnSp macro="">
      <xdr:nvCxnSpPr>
        <xdr:cNvPr id="31" name="7 Conector recto de flecha">
          <a:extLst>
            <a:ext uri="{FF2B5EF4-FFF2-40B4-BE49-F238E27FC236}">
              <a16:creationId xmlns:a16="http://schemas.microsoft.com/office/drawing/2014/main" id="{A9055CA0-F386-42F9-8C7F-3B323BA0E4BA}"/>
            </a:ext>
          </a:extLst>
        </xdr:cNvPr>
        <xdr:cNvCxnSpPr/>
      </xdr:nvCxnSpPr>
      <xdr:spPr>
        <a:xfrm>
          <a:off x="6800850" y="4333875"/>
          <a:ext cx="428625" cy="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916233</xdr:colOff>
      <xdr:row>12</xdr:row>
      <xdr:rowOff>175113</xdr:rowOff>
    </xdr:from>
    <xdr:to>
      <xdr:col>9</xdr:col>
      <xdr:colOff>923925</xdr:colOff>
      <xdr:row>15</xdr:row>
      <xdr:rowOff>95250</xdr:rowOff>
    </xdr:to>
    <xdr:cxnSp macro="">
      <xdr:nvCxnSpPr>
        <xdr:cNvPr id="34" name="7 Conector recto de flecha">
          <a:extLst>
            <a:ext uri="{FF2B5EF4-FFF2-40B4-BE49-F238E27FC236}">
              <a16:creationId xmlns:a16="http://schemas.microsoft.com/office/drawing/2014/main" id="{474A1E44-0851-4FFF-9572-D96073C08CAB}"/>
            </a:ext>
          </a:extLst>
        </xdr:cNvPr>
        <xdr:cNvCxnSpPr>
          <a:cxnSpLocks/>
          <a:stCxn id="19" idx="4"/>
        </xdr:cNvCxnSpPr>
      </xdr:nvCxnSpPr>
      <xdr:spPr>
        <a:xfrm>
          <a:off x="5759696" y="2356338"/>
          <a:ext cx="7692" cy="472587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688182</xdr:colOff>
      <xdr:row>2</xdr:row>
      <xdr:rowOff>110388</xdr:rowOff>
    </xdr:from>
    <xdr:to>
      <xdr:col>21</xdr:col>
      <xdr:colOff>198970</xdr:colOff>
      <xdr:row>29</xdr:row>
      <xdr:rowOff>85861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E3587742-FF18-4B78-BA66-98E0E5A6C794}"/>
            </a:ext>
          </a:extLst>
        </xdr:cNvPr>
        <xdr:cNvGrpSpPr/>
      </xdr:nvGrpSpPr>
      <xdr:grpSpPr>
        <a:xfrm>
          <a:off x="10860882" y="510438"/>
          <a:ext cx="5235313" cy="5138023"/>
          <a:chOff x="10447644" y="506042"/>
          <a:chExt cx="5233114" cy="5133627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B5D282DB-F208-4D22-AF56-1938E898E681}"/>
              </a:ext>
            </a:extLst>
          </xdr:cNvPr>
          <xdr:cNvGrpSpPr/>
        </xdr:nvGrpSpPr>
        <xdr:grpSpPr>
          <a:xfrm>
            <a:off x="10447644" y="519899"/>
            <a:ext cx="5233114" cy="5119770"/>
            <a:chOff x="9660426" y="513528"/>
            <a:chExt cx="5240172" cy="5121547"/>
          </a:xfrm>
        </xdr:grpSpPr>
        <xdr:pic>
          <xdr:nvPicPr>
            <xdr:cNvPr id="3" name="2 Imagen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707217" y="513528"/>
              <a:ext cx="5193381" cy="4622438"/>
            </a:xfrm>
            <a:prstGeom prst="rect">
              <a:avLst/>
            </a:prstGeom>
          </xdr:spPr>
        </xdr:pic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24A880CD-5C15-4895-A9B7-41A79349488B}"/>
                </a:ext>
              </a:extLst>
            </xdr:cNvPr>
            <xdr:cNvGrpSpPr/>
          </xdr:nvGrpSpPr>
          <xdr:grpSpPr>
            <a:xfrm>
              <a:off x="9660426" y="599218"/>
              <a:ext cx="4431029" cy="5035857"/>
              <a:chOff x="9650626" y="600961"/>
              <a:chExt cx="4432764" cy="5039343"/>
            </a:xfrm>
          </xdr:grpSpPr>
          <xdr:cxnSp macro="">
            <xdr:nvCxnSpPr>
              <xdr:cNvPr id="27" name="26 Conector recto de flecha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CxnSpPr/>
            </xdr:nvCxnSpPr>
            <xdr:spPr>
              <a:xfrm>
                <a:off x="9650626" y="2080024"/>
                <a:ext cx="2575965" cy="3560280"/>
              </a:xfrm>
              <a:prstGeom prst="straightConnector1">
                <a:avLst/>
              </a:prstGeom>
              <a:ln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32 Conector recto de flecha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flipH="1" flipV="1">
                <a:off x="9747549" y="2000751"/>
                <a:ext cx="2566157" cy="3618727"/>
              </a:xfrm>
              <a:prstGeom prst="straightConnector1">
                <a:avLst/>
              </a:prstGeom>
              <a:ln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" name="36 Conector recto de flecha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CxnSpPr/>
            </xdr:nvCxnSpPr>
            <xdr:spPr>
              <a:xfrm>
                <a:off x="9835314" y="1953126"/>
                <a:ext cx="2600827" cy="3601453"/>
              </a:xfrm>
              <a:prstGeom prst="straightConnector1">
                <a:avLst/>
              </a:prstGeom>
              <a:ln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" name="37 Conector recto de flecha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CxnSpPr/>
            </xdr:nvCxnSpPr>
            <xdr:spPr>
              <a:xfrm flipH="1">
                <a:off x="9655321" y="2007235"/>
                <a:ext cx="93622" cy="75301"/>
              </a:xfrm>
              <a:prstGeom prst="straightConnector1">
                <a:avLst/>
              </a:prstGeom>
              <a:ln>
                <a:solidFill>
                  <a:srgbClr val="00B05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42 Conector recto de flecha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CxnSpPr/>
            </xdr:nvCxnSpPr>
            <xdr:spPr>
              <a:xfrm flipH="1">
                <a:off x="12318051" y="5554359"/>
                <a:ext cx="118728" cy="74435"/>
              </a:xfrm>
              <a:prstGeom prst="straightConnector1">
                <a:avLst/>
              </a:prstGeom>
              <a:ln>
                <a:solidFill>
                  <a:srgbClr val="00B05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43 Conector recto de flecha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CxnSpPr>
                <a:endCxn id="32" idx="6"/>
              </xdr:cNvCxnSpPr>
            </xdr:nvCxnSpPr>
            <xdr:spPr>
              <a:xfrm flipH="1" flipV="1">
                <a:off x="11014526" y="929724"/>
                <a:ext cx="1216630" cy="4706057"/>
              </a:xfrm>
              <a:prstGeom prst="straightConnector1">
                <a:avLst/>
              </a:prstGeom>
              <a:ln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" name="3 Rectángulo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/>
            </xdr:nvSpPr>
            <xdr:spPr>
              <a:xfrm rot="3224740">
                <a:off x="10070386" y="1128834"/>
                <a:ext cx="4540878" cy="3485131"/>
              </a:xfrm>
              <a:prstGeom prst="rect">
                <a:avLst/>
              </a:prstGeom>
              <a:noFill/>
              <a:ln w="3175">
                <a:solidFill>
                  <a:schemeClr val="accent6">
                    <a:lumMod val="50000"/>
                  </a:schemeClr>
                </a:solidFill>
                <a:prstDash val="sys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</xdr:grpSp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CA80A385-3DCA-4C43-8B6A-0BA5FC60345C}"/>
              </a:ext>
            </a:extLst>
          </xdr:cNvPr>
          <xdr:cNvGrpSpPr/>
        </xdr:nvGrpSpPr>
        <xdr:grpSpPr>
          <a:xfrm rot="3250530">
            <a:off x="11381277" y="590917"/>
            <a:ext cx="476752" cy="307002"/>
            <a:chOff x="8634413" y="1457325"/>
            <a:chExt cx="448177" cy="307002"/>
          </a:xfrm>
        </xdr:grpSpPr>
        <xdr:sp macro="" textlink="">
          <xdr:nvSpPr>
            <xdr:cNvPr id="28" name="25 Flecha derecha">
              <a:extLst>
                <a:ext uri="{FF2B5EF4-FFF2-40B4-BE49-F238E27FC236}">
                  <a16:creationId xmlns:a16="http://schemas.microsoft.com/office/drawing/2014/main" id="{007C22E4-DE74-40EC-A7D0-7F0522E96E4B}"/>
                </a:ext>
              </a:extLst>
            </xdr:cNvPr>
            <xdr:cNvSpPr/>
          </xdr:nvSpPr>
          <xdr:spPr>
            <a:xfrm>
              <a:off x="8634413" y="1457325"/>
              <a:ext cx="289833" cy="307002"/>
            </a:xfrm>
            <a:prstGeom prst="rightArrow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" textlink="">
          <xdr:nvSpPr>
            <xdr:cNvPr id="32" name="24 Elipse">
              <a:extLst>
                <a:ext uri="{FF2B5EF4-FFF2-40B4-BE49-F238E27FC236}">
                  <a16:creationId xmlns:a16="http://schemas.microsoft.com/office/drawing/2014/main" id="{4005BCC9-5139-4DC3-8752-94485DD7D5DA}"/>
                </a:ext>
              </a:extLst>
            </xdr:cNvPr>
            <xdr:cNvSpPr/>
          </xdr:nvSpPr>
          <xdr:spPr>
            <a:xfrm>
              <a:off x="8993361" y="1570770"/>
              <a:ext cx="89229" cy="8344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cxnSp macro="">
        <xdr:nvCxnSpPr>
          <xdr:cNvPr id="35" name="7 Conector recto de flecha">
            <a:extLst>
              <a:ext uri="{FF2B5EF4-FFF2-40B4-BE49-F238E27FC236}">
                <a16:creationId xmlns:a16="http://schemas.microsoft.com/office/drawing/2014/main" id="{5A3A44F3-7770-4F44-B6FF-D3966B238694}"/>
              </a:ext>
            </a:extLst>
          </xdr:cNvPr>
          <xdr:cNvCxnSpPr>
            <a:stCxn id="32" idx="4"/>
          </xdr:cNvCxnSpPr>
        </xdr:nvCxnSpPr>
        <xdr:spPr>
          <a:xfrm flipH="1">
            <a:off x="10632190" y="920097"/>
            <a:ext cx="1057330" cy="1034085"/>
          </a:xfrm>
          <a:prstGeom prst="straightConnector1">
            <a:avLst/>
          </a:prstGeom>
          <a:ln w="19050">
            <a:solidFill>
              <a:srgbClr val="FF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763466</xdr:colOff>
      <xdr:row>1</xdr:row>
      <xdr:rowOff>51288</xdr:rowOff>
    </xdr:from>
    <xdr:to>
      <xdr:col>9</xdr:col>
      <xdr:colOff>851389</xdr:colOff>
      <xdr:row>1</xdr:row>
      <xdr:rowOff>139211</xdr:rowOff>
    </xdr:to>
    <xdr:sp macro="" textlink="">
      <xdr:nvSpPr>
        <xdr:cNvPr id="19" name="19 Elipse">
          <a:extLst>
            <a:ext uri="{FF2B5EF4-FFF2-40B4-BE49-F238E27FC236}">
              <a16:creationId xmlns:a16="http://schemas.microsoft.com/office/drawing/2014/main" id="{39858D42-D04D-479F-BF3F-258888555630}"/>
            </a:ext>
          </a:extLst>
        </xdr:cNvPr>
        <xdr:cNvSpPr/>
      </xdr:nvSpPr>
      <xdr:spPr>
        <a:xfrm>
          <a:off x="6126041" y="251313"/>
          <a:ext cx="87923" cy="8792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807060</xdr:colOff>
      <xdr:row>14</xdr:row>
      <xdr:rowOff>74735</xdr:rowOff>
    </xdr:from>
    <xdr:to>
      <xdr:col>12</xdr:col>
      <xdr:colOff>748393</xdr:colOff>
      <xdr:row>14</xdr:row>
      <xdr:rowOff>81643</xdr:rowOff>
    </xdr:to>
    <xdr:cxnSp macro="">
      <xdr:nvCxnSpPr>
        <xdr:cNvPr id="20" name="7 Conector recto de flecha">
          <a:extLst>
            <a:ext uri="{FF2B5EF4-FFF2-40B4-BE49-F238E27FC236}">
              <a16:creationId xmlns:a16="http://schemas.microsoft.com/office/drawing/2014/main" id="{F1BFD9D2-BAB9-46BA-9F52-1F46EF793B3C}"/>
            </a:ext>
          </a:extLst>
        </xdr:cNvPr>
        <xdr:cNvCxnSpPr/>
      </xdr:nvCxnSpPr>
      <xdr:spPr>
        <a:xfrm>
          <a:off x="6290739" y="2768949"/>
          <a:ext cx="2826047" cy="690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816585</xdr:colOff>
      <xdr:row>14</xdr:row>
      <xdr:rowOff>65210</xdr:rowOff>
    </xdr:from>
    <xdr:to>
      <xdr:col>9</xdr:col>
      <xdr:colOff>816585</xdr:colOff>
      <xdr:row>16</xdr:row>
      <xdr:rowOff>65210</xdr:rowOff>
    </xdr:to>
    <xdr:cxnSp macro="">
      <xdr:nvCxnSpPr>
        <xdr:cNvPr id="21" name="9 Conector recto de flecha">
          <a:extLst>
            <a:ext uri="{FF2B5EF4-FFF2-40B4-BE49-F238E27FC236}">
              <a16:creationId xmlns:a16="http://schemas.microsoft.com/office/drawing/2014/main" id="{10B2F242-417D-4D9A-ADC7-196A1958DE9B}"/>
            </a:ext>
          </a:extLst>
        </xdr:cNvPr>
        <xdr:cNvCxnSpPr/>
      </xdr:nvCxnSpPr>
      <xdr:spPr>
        <a:xfrm flipV="1">
          <a:off x="6300264" y="2759424"/>
          <a:ext cx="0" cy="38100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807060</xdr:colOff>
      <xdr:row>16</xdr:row>
      <xdr:rowOff>74735</xdr:rowOff>
    </xdr:from>
    <xdr:to>
      <xdr:col>12</xdr:col>
      <xdr:colOff>683235</xdr:colOff>
      <xdr:row>16</xdr:row>
      <xdr:rowOff>74735</xdr:rowOff>
    </xdr:to>
    <xdr:cxnSp macro="">
      <xdr:nvCxnSpPr>
        <xdr:cNvPr id="22" name="11 Conector recto de flecha">
          <a:extLst>
            <a:ext uri="{FF2B5EF4-FFF2-40B4-BE49-F238E27FC236}">
              <a16:creationId xmlns:a16="http://schemas.microsoft.com/office/drawing/2014/main" id="{57780B00-ADB2-4780-A41C-3BB8EEE7DB2F}"/>
            </a:ext>
          </a:extLst>
        </xdr:cNvPr>
        <xdr:cNvCxnSpPr/>
      </xdr:nvCxnSpPr>
      <xdr:spPr>
        <a:xfrm flipH="1">
          <a:off x="6290739" y="3149949"/>
          <a:ext cx="2760889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807060</xdr:colOff>
      <xdr:row>18</xdr:row>
      <xdr:rowOff>74735</xdr:rowOff>
    </xdr:from>
    <xdr:to>
      <xdr:col>12</xdr:col>
      <xdr:colOff>673710</xdr:colOff>
      <xdr:row>18</xdr:row>
      <xdr:rowOff>74735</xdr:rowOff>
    </xdr:to>
    <xdr:cxnSp macro="">
      <xdr:nvCxnSpPr>
        <xdr:cNvPr id="23" name="13 Conector recto de flecha">
          <a:extLst>
            <a:ext uri="{FF2B5EF4-FFF2-40B4-BE49-F238E27FC236}">
              <a16:creationId xmlns:a16="http://schemas.microsoft.com/office/drawing/2014/main" id="{0885B9EA-860E-4458-B9E4-A519741A3325}"/>
            </a:ext>
          </a:extLst>
        </xdr:cNvPr>
        <xdr:cNvCxnSpPr/>
      </xdr:nvCxnSpPr>
      <xdr:spPr>
        <a:xfrm>
          <a:off x="6290739" y="3530949"/>
          <a:ext cx="2751364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748393</xdr:colOff>
      <xdr:row>14</xdr:row>
      <xdr:rowOff>54429</xdr:rowOff>
    </xdr:from>
    <xdr:to>
      <xdr:col>13</xdr:col>
      <xdr:colOff>0</xdr:colOff>
      <xdr:row>27</xdr:row>
      <xdr:rowOff>144134</xdr:rowOff>
    </xdr:to>
    <xdr:cxnSp macro="">
      <xdr:nvCxnSpPr>
        <xdr:cNvPr id="24" name="14 Conector recto de flecha">
          <a:extLst>
            <a:ext uri="{FF2B5EF4-FFF2-40B4-BE49-F238E27FC236}">
              <a16:creationId xmlns:a16="http://schemas.microsoft.com/office/drawing/2014/main" id="{3F7C1C18-D61F-4C7F-8F0B-D04372CAF966}"/>
            </a:ext>
          </a:extLst>
        </xdr:cNvPr>
        <xdr:cNvCxnSpPr/>
      </xdr:nvCxnSpPr>
      <xdr:spPr>
        <a:xfrm>
          <a:off x="9116786" y="2748643"/>
          <a:ext cx="13607" cy="2566205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666750</xdr:colOff>
      <xdr:row>27</xdr:row>
      <xdr:rowOff>138793</xdr:rowOff>
    </xdr:from>
    <xdr:to>
      <xdr:col>12</xdr:col>
      <xdr:colOff>751010</xdr:colOff>
      <xdr:row>28</xdr:row>
      <xdr:rowOff>36216</xdr:rowOff>
    </xdr:to>
    <xdr:sp macro="" textlink="">
      <xdr:nvSpPr>
        <xdr:cNvPr id="25" name="18 Elipse">
          <a:extLst>
            <a:ext uri="{FF2B5EF4-FFF2-40B4-BE49-F238E27FC236}">
              <a16:creationId xmlns:a16="http://schemas.microsoft.com/office/drawing/2014/main" id="{FF1656ED-AE50-4F91-AC9D-36E2850F4299}"/>
            </a:ext>
          </a:extLst>
        </xdr:cNvPr>
        <xdr:cNvSpPr/>
      </xdr:nvSpPr>
      <xdr:spPr>
        <a:xfrm>
          <a:off x="9035143" y="5309507"/>
          <a:ext cx="84260" cy="8792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676275</xdr:colOff>
      <xdr:row>16</xdr:row>
      <xdr:rowOff>85725</xdr:rowOff>
    </xdr:from>
    <xdr:to>
      <xdr:col>12</xdr:col>
      <xdr:colOff>676275</xdr:colOff>
      <xdr:row>18</xdr:row>
      <xdr:rowOff>95250</xdr:rowOff>
    </xdr:to>
    <xdr:cxnSp macro="">
      <xdr:nvCxnSpPr>
        <xdr:cNvPr id="26" name="12 Conector recto de flecha">
          <a:extLst>
            <a:ext uri="{FF2B5EF4-FFF2-40B4-BE49-F238E27FC236}">
              <a16:creationId xmlns:a16="http://schemas.microsoft.com/office/drawing/2014/main" id="{F4E535F4-588B-4555-941F-F0B3AC873944}"/>
            </a:ext>
          </a:extLst>
        </xdr:cNvPr>
        <xdr:cNvCxnSpPr/>
      </xdr:nvCxnSpPr>
      <xdr:spPr>
        <a:xfrm flipV="1">
          <a:off x="9044668" y="3160939"/>
          <a:ext cx="0" cy="390525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676275</xdr:colOff>
      <xdr:row>24</xdr:row>
      <xdr:rowOff>136072</xdr:rowOff>
    </xdr:from>
    <xdr:to>
      <xdr:col>12</xdr:col>
      <xdr:colOff>676275</xdr:colOff>
      <xdr:row>27</xdr:row>
      <xdr:rowOff>75259</xdr:rowOff>
    </xdr:to>
    <xdr:cxnSp macro="">
      <xdr:nvCxnSpPr>
        <xdr:cNvPr id="27" name="7 Conector recto de flecha">
          <a:extLst>
            <a:ext uri="{FF2B5EF4-FFF2-40B4-BE49-F238E27FC236}">
              <a16:creationId xmlns:a16="http://schemas.microsoft.com/office/drawing/2014/main" id="{7F218705-6017-4214-94F9-9F3A42191318}"/>
            </a:ext>
          </a:extLst>
        </xdr:cNvPr>
        <xdr:cNvCxnSpPr>
          <a:cxnSpLocks/>
        </xdr:cNvCxnSpPr>
      </xdr:nvCxnSpPr>
      <xdr:spPr>
        <a:xfrm flipV="1">
          <a:off x="9044668" y="4735286"/>
          <a:ext cx="0" cy="510687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828675</xdr:colOff>
      <xdr:row>20</xdr:row>
      <xdr:rowOff>104775</xdr:rowOff>
    </xdr:from>
    <xdr:to>
      <xdr:col>12</xdr:col>
      <xdr:colOff>695325</xdr:colOff>
      <xdr:row>20</xdr:row>
      <xdr:rowOff>104775</xdr:rowOff>
    </xdr:to>
    <xdr:cxnSp macro="">
      <xdr:nvCxnSpPr>
        <xdr:cNvPr id="28" name="7 Conector recto de flecha">
          <a:extLst>
            <a:ext uri="{FF2B5EF4-FFF2-40B4-BE49-F238E27FC236}">
              <a16:creationId xmlns:a16="http://schemas.microsoft.com/office/drawing/2014/main" id="{FE3AE05D-939E-4097-B49C-2EF7925792E3}"/>
            </a:ext>
          </a:extLst>
        </xdr:cNvPr>
        <xdr:cNvCxnSpPr/>
      </xdr:nvCxnSpPr>
      <xdr:spPr>
        <a:xfrm flipH="1">
          <a:off x="6312354" y="3941989"/>
          <a:ext cx="2751364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676275</xdr:colOff>
      <xdr:row>20</xdr:row>
      <xdr:rowOff>76200</xdr:rowOff>
    </xdr:from>
    <xdr:to>
      <xdr:col>12</xdr:col>
      <xdr:colOff>676275</xdr:colOff>
      <xdr:row>22</xdr:row>
      <xdr:rowOff>76200</xdr:rowOff>
    </xdr:to>
    <xdr:cxnSp macro="">
      <xdr:nvCxnSpPr>
        <xdr:cNvPr id="29" name="9 Conector recto de flecha">
          <a:extLst>
            <a:ext uri="{FF2B5EF4-FFF2-40B4-BE49-F238E27FC236}">
              <a16:creationId xmlns:a16="http://schemas.microsoft.com/office/drawing/2014/main" id="{F76F16C3-B924-4EE5-8D12-209FA6D8704C}"/>
            </a:ext>
          </a:extLst>
        </xdr:cNvPr>
        <xdr:cNvCxnSpPr/>
      </xdr:nvCxnSpPr>
      <xdr:spPr>
        <a:xfrm flipV="1">
          <a:off x="9044668" y="3913414"/>
          <a:ext cx="0" cy="38100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828675</xdr:colOff>
      <xdr:row>22</xdr:row>
      <xdr:rowOff>104775</xdr:rowOff>
    </xdr:from>
    <xdr:to>
      <xdr:col>12</xdr:col>
      <xdr:colOff>704850</xdr:colOff>
      <xdr:row>22</xdr:row>
      <xdr:rowOff>104775</xdr:rowOff>
    </xdr:to>
    <xdr:cxnSp macro="">
      <xdr:nvCxnSpPr>
        <xdr:cNvPr id="30" name="11 Conector recto de flecha">
          <a:extLst>
            <a:ext uri="{FF2B5EF4-FFF2-40B4-BE49-F238E27FC236}">
              <a16:creationId xmlns:a16="http://schemas.microsoft.com/office/drawing/2014/main" id="{C0B1FAC4-A710-410F-884D-B54EBEC6CA67}"/>
            </a:ext>
          </a:extLst>
        </xdr:cNvPr>
        <xdr:cNvCxnSpPr/>
      </xdr:nvCxnSpPr>
      <xdr:spPr>
        <a:xfrm>
          <a:off x="6312354" y="4322989"/>
          <a:ext cx="2760889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838200</xdr:colOff>
      <xdr:row>22</xdr:row>
      <xdr:rowOff>95250</xdr:rowOff>
    </xdr:from>
    <xdr:to>
      <xdr:col>9</xdr:col>
      <xdr:colOff>838200</xdr:colOff>
      <xdr:row>24</xdr:row>
      <xdr:rowOff>104775</xdr:rowOff>
    </xdr:to>
    <xdr:cxnSp macro="">
      <xdr:nvCxnSpPr>
        <xdr:cNvPr id="31" name="12 Conector recto de flecha">
          <a:extLst>
            <a:ext uri="{FF2B5EF4-FFF2-40B4-BE49-F238E27FC236}">
              <a16:creationId xmlns:a16="http://schemas.microsoft.com/office/drawing/2014/main" id="{3918F54F-D22E-44D0-9B6E-41039B670011}"/>
            </a:ext>
          </a:extLst>
        </xdr:cNvPr>
        <xdr:cNvCxnSpPr/>
      </xdr:nvCxnSpPr>
      <xdr:spPr>
        <a:xfrm flipV="1">
          <a:off x="6321879" y="4313464"/>
          <a:ext cx="0" cy="390525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828675</xdr:colOff>
      <xdr:row>24</xdr:row>
      <xdr:rowOff>104775</xdr:rowOff>
    </xdr:from>
    <xdr:to>
      <xdr:col>12</xdr:col>
      <xdr:colOff>695325</xdr:colOff>
      <xdr:row>24</xdr:row>
      <xdr:rowOff>104775</xdr:rowOff>
    </xdr:to>
    <xdr:cxnSp macro="">
      <xdr:nvCxnSpPr>
        <xdr:cNvPr id="32" name="13 Conector recto de flecha">
          <a:extLst>
            <a:ext uri="{FF2B5EF4-FFF2-40B4-BE49-F238E27FC236}">
              <a16:creationId xmlns:a16="http://schemas.microsoft.com/office/drawing/2014/main" id="{C14B6FE3-8371-4CC9-AE2A-C42AA625F40D}"/>
            </a:ext>
          </a:extLst>
        </xdr:cNvPr>
        <xdr:cNvCxnSpPr/>
      </xdr:nvCxnSpPr>
      <xdr:spPr>
        <a:xfrm flipH="1">
          <a:off x="6312354" y="4703989"/>
          <a:ext cx="2751364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29</xdr:row>
      <xdr:rowOff>85725</xdr:rowOff>
    </xdr:from>
    <xdr:to>
      <xdr:col>11</xdr:col>
      <xdr:colOff>542925</xdr:colOff>
      <xdr:row>29</xdr:row>
      <xdr:rowOff>85725</xdr:rowOff>
    </xdr:to>
    <xdr:cxnSp macro="">
      <xdr:nvCxnSpPr>
        <xdr:cNvPr id="34" name="7 Conector recto de flecha">
          <a:extLst>
            <a:ext uri="{FF2B5EF4-FFF2-40B4-BE49-F238E27FC236}">
              <a16:creationId xmlns:a16="http://schemas.microsoft.com/office/drawing/2014/main" id="{EE920235-9015-4A34-ABB1-B59177AA44FE}"/>
            </a:ext>
          </a:extLst>
        </xdr:cNvPr>
        <xdr:cNvCxnSpPr/>
      </xdr:nvCxnSpPr>
      <xdr:spPr>
        <a:xfrm>
          <a:off x="8001000" y="4124325"/>
          <a:ext cx="428625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30</xdr:row>
      <xdr:rowOff>104775</xdr:rowOff>
    </xdr:from>
    <xdr:to>
      <xdr:col>11</xdr:col>
      <xdr:colOff>542925</xdr:colOff>
      <xdr:row>30</xdr:row>
      <xdr:rowOff>104775</xdr:rowOff>
    </xdr:to>
    <xdr:cxnSp macro="">
      <xdr:nvCxnSpPr>
        <xdr:cNvPr id="35" name="7 Conector recto de flecha">
          <a:extLst>
            <a:ext uri="{FF2B5EF4-FFF2-40B4-BE49-F238E27FC236}">
              <a16:creationId xmlns:a16="http://schemas.microsoft.com/office/drawing/2014/main" id="{C1CEEE62-B7D2-4D8D-B07E-D6240F70D53F}"/>
            </a:ext>
          </a:extLst>
        </xdr:cNvPr>
        <xdr:cNvCxnSpPr/>
      </xdr:nvCxnSpPr>
      <xdr:spPr>
        <a:xfrm>
          <a:off x="8001000" y="4333875"/>
          <a:ext cx="428625" cy="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31</xdr:row>
      <xdr:rowOff>114300</xdr:rowOff>
    </xdr:from>
    <xdr:to>
      <xdr:col>11</xdr:col>
      <xdr:colOff>542925</xdr:colOff>
      <xdr:row>31</xdr:row>
      <xdr:rowOff>114300</xdr:rowOff>
    </xdr:to>
    <xdr:cxnSp macro="">
      <xdr:nvCxnSpPr>
        <xdr:cNvPr id="36" name="7 Conector recto de flecha">
          <a:extLst>
            <a:ext uri="{FF2B5EF4-FFF2-40B4-BE49-F238E27FC236}">
              <a16:creationId xmlns:a16="http://schemas.microsoft.com/office/drawing/2014/main" id="{F1B152C3-282A-4A0C-8A29-CA9AB09CD572}"/>
            </a:ext>
          </a:extLst>
        </xdr:cNvPr>
        <xdr:cNvCxnSpPr/>
      </xdr:nvCxnSpPr>
      <xdr:spPr>
        <a:xfrm>
          <a:off x="8001000" y="4533900"/>
          <a:ext cx="428625" cy="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32</xdr:row>
      <xdr:rowOff>114300</xdr:rowOff>
    </xdr:from>
    <xdr:to>
      <xdr:col>11</xdr:col>
      <xdr:colOff>542925</xdr:colOff>
      <xdr:row>32</xdr:row>
      <xdr:rowOff>114300</xdr:rowOff>
    </xdr:to>
    <xdr:cxnSp macro="">
      <xdr:nvCxnSpPr>
        <xdr:cNvPr id="37" name="7 Conector recto de flecha">
          <a:extLst>
            <a:ext uri="{FF2B5EF4-FFF2-40B4-BE49-F238E27FC236}">
              <a16:creationId xmlns:a16="http://schemas.microsoft.com/office/drawing/2014/main" id="{E5D08273-4E66-4D1B-8826-50EF516F9DBC}"/>
            </a:ext>
          </a:extLst>
        </xdr:cNvPr>
        <xdr:cNvCxnSpPr/>
      </xdr:nvCxnSpPr>
      <xdr:spPr>
        <a:xfrm>
          <a:off x="8001000" y="4724400"/>
          <a:ext cx="428625" cy="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816585</xdr:colOff>
      <xdr:row>18</xdr:row>
      <xdr:rowOff>74735</xdr:rowOff>
    </xdr:from>
    <xdr:to>
      <xdr:col>9</xdr:col>
      <xdr:colOff>816585</xdr:colOff>
      <xdr:row>20</xdr:row>
      <xdr:rowOff>74735</xdr:rowOff>
    </xdr:to>
    <xdr:cxnSp macro="">
      <xdr:nvCxnSpPr>
        <xdr:cNvPr id="38" name="9 Conector recto de flecha">
          <a:extLst>
            <a:ext uri="{FF2B5EF4-FFF2-40B4-BE49-F238E27FC236}">
              <a16:creationId xmlns:a16="http://schemas.microsoft.com/office/drawing/2014/main" id="{906E27CC-7DB0-4ECE-A032-89D405B69C57}"/>
            </a:ext>
          </a:extLst>
        </xdr:cNvPr>
        <xdr:cNvCxnSpPr/>
      </xdr:nvCxnSpPr>
      <xdr:spPr>
        <a:xfrm flipV="1">
          <a:off x="6300264" y="3530949"/>
          <a:ext cx="0" cy="381000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969817</xdr:colOff>
      <xdr:row>2</xdr:row>
      <xdr:rowOff>190499</xdr:rowOff>
    </xdr:from>
    <xdr:to>
      <xdr:col>20</xdr:col>
      <xdr:colOff>443704</xdr:colOff>
      <xdr:row>31</xdr:row>
      <xdr:rowOff>119614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79D9DA42-56EE-452B-AAEA-AF6E3EA1DA2B}"/>
            </a:ext>
          </a:extLst>
        </xdr:cNvPr>
        <xdr:cNvGrpSpPr/>
      </xdr:nvGrpSpPr>
      <xdr:grpSpPr>
        <a:xfrm>
          <a:off x="10828192" y="590549"/>
          <a:ext cx="4436412" cy="5453615"/>
          <a:chOff x="13283045" y="5749636"/>
          <a:chExt cx="4443188" cy="5453615"/>
        </a:xfrm>
      </xdr:grpSpPr>
      <xdr:pic>
        <xdr:nvPicPr>
          <xdr:cNvPr id="48" name="2 Imagen">
            <a:extLst>
              <a:ext uri="{FF2B5EF4-FFF2-40B4-BE49-F238E27FC236}">
                <a16:creationId xmlns:a16="http://schemas.microsoft.com/office/drawing/2014/main" id="{86741640-304D-4E4C-8F1B-2F0EFEE61F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 rot="18399518">
            <a:off x="12681497" y="6351184"/>
            <a:ext cx="5453615" cy="4250520"/>
          </a:xfrm>
          <a:prstGeom prst="rect">
            <a:avLst/>
          </a:prstGeom>
        </xdr:spPr>
      </xdr:pic>
      <xdr:grpSp>
        <xdr:nvGrpSpPr>
          <xdr:cNvPr id="50" name="Grupo 49">
            <a:extLst>
              <a:ext uri="{FF2B5EF4-FFF2-40B4-BE49-F238E27FC236}">
                <a16:creationId xmlns:a16="http://schemas.microsoft.com/office/drawing/2014/main" id="{0F77536C-CFF7-4D9A-84FA-1B48D7BCB1F4}"/>
              </a:ext>
            </a:extLst>
          </xdr:cNvPr>
          <xdr:cNvGrpSpPr/>
        </xdr:nvGrpSpPr>
        <xdr:grpSpPr>
          <a:xfrm rot="19451823">
            <a:off x="15353610" y="10451371"/>
            <a:ext cx="339565" cy="413346"/>
            <a:chOff x="2173364" y="228668"/>
            <a:chExt cx="352016" cy="396960"/>
          </a:xfrm>
        </xdr:grpSpPr>
        <xdr:sp macro="" textlink="">
          <xdr:nvSpPr>
            <xdr:cNvPr id="75" name="25 Flecha derecha">
              <a:extLst>
                <a:ext uri="{FF2B5EF4-FFF2-40B4-BE49-F238E27FC236}">
                  <a16:creationId xmlns:a16="http://schemas.microsoft.com/office/drawing/2014/main" id="{B60D72EE-118B-4D92-AF4F-9D0A3C2430E4}"/>
                </a:ext>
              </a:extLst>
            </xdr:cNvPr>
            <xdr:cNvSpPr/>
          </xdr:nvSpPr>
          <xdr:spPr>
            <a:xfrm rot="18399518">
              <a:off x="2181861" y="326466"/>
              <a:ext cx="290665" cy="307659"/>
            </a:xfrm>
            <a:prstGeom prst="rightArrow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ES" sz="1100"/>
            </a:p>
          </xdr:txBody>
        </xdr:sp>
        <xdr:sp macro="" textlink="">
          <xdr:nvSpPr>
            <xdr:cNvPr id="76" name="24 Elipse">
              <a:extLst>
                <a:ext uri="{FF2B5EF4-FFF2-40B4-BE49-F238E27FC236}">
                  <a16:creationId xmlns:a16="http://schemas.microsoft.com/office/drawing/2014/main" id="{C5EF067B-3959-4091-B7BD-76BC73F8465B}"/>
                </a:ext>
              </a:extLst>
            </xdr:cNvPr>
            <xdr:cNvSpPr/>
          </xdr:nvSpPr>
          <xdr:spPr>
            <a:xfrm rot="18399518">
              <a:off x="2438936" y="231489"/>
              <a:ext cx="89265" cy="83623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ES" sz="1100"/>
            </a:p>
          </xdr:txBody>
        </xdr:sp>
      </xdr:grpSp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BA07D4E3-A9CE-46EC-BC4F-F21CFB3FF0C9}"/>
              </a:ext>
            </a:extLst>
          </xdr:cNvPr>
          <xdr:cNvGrpSpPr/>
        </xdr:nvGrpSpPr>
        <xdr:grpSpPr>
          <a:xfrm rot="10800000">
            <a:off x="13307492" y="6566711"/>
            <a:ext cx="4418741" cy="3763896"/>
            <a:chOff x="6136547" y="880164"/>
            <a:chExt cx="4418741" cy="3763896"/>
          </a:xfrm>
        </xdr:grpSpPr>
        <xdr:cxnSp macro="">
          <xdr:nvCxnSpPr>
            <xdr:cNvPr id="52" name="Conector recto 51">
              <a:extLst>
                <a:ext uri="{FF2B5EF4-FFF2-40B4-BE49-F238E27FC236}">
                  <a16:creationId xmlns:a16="http://schemas.microsoft.com/office/drawing/2014/main" id="{712C43E2-B379-4435-A6AD-81FF07ED7699}"/>
                </a:ext>
              </a:extLst>
            </xdr:cNvPr>
            <xdr:cNvCxnSpPr/>
          </xdr:nvCxnSpPr>
          <xdr:spPr>
            <a:xfrm rot="10800000" flipH="1" flipV="1">
              <a:off x="6139420" y="1041784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3" name="Conector recto 52">
              <a:extLst>
                <a:ext uri="{FF2B5EF4-FFF2-40B4-BE49-F238E27FC236}">
                  <a16:creationId xmlns:a16="http://schemas.microsoft.com/office/drawing/2014/main" id="{80C4F8BB-D8D0-435C-B2C7-8BE3C65DC2EC}"/>
                </a:ext>
              </a:extLst>
            </xdr:cNvPr>
            <xdr:cNvCxnSpPr/>
          </xdr:nvCxnSpPr>
          <xdr:spPr>
            <a:xfrm rot="10800000" flipH="1" flipV="1">
              <a:off x="6139420" y="935724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" name="Conector recto 53">
              <a:extLst>
                <a:ext uri="{FF2B5EF4-FFF2-40B4-BE49-F238E27FC236}">
                  <a16:creationId xmlns:a16="http://schemas.microsoft.com/office/drawing/2014/main" id="{AF3EEE24-A541-42E4-B812-EEDD3429CE4A}"/>
                </a:ext>
              </a:extLst>
            </xdr:cNvPr>
            <xdr:cNvCxnSpPr/>
          </xdr:nvCxnSpPr>
          <xdr:spPr>
            <a:xfrm rot="10800000" flipH="1" flipV="1">
              <a:off x="6139420" y="1164770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" name="Conector recto 54">
              <a:extLst>
                <a:ext uri="{FF2B5EF4-FFF2-40B4-BE49-F238E27FC236}">
                  <a16:creationId xmlns:a16="http://schemas.microsoft.com/office/drawing/2014/main" id="{E149E09C-D9F8-46CE-A201-A95BDE830D64}"/>
                </a:ext>
              </a:extLst>
            </xdr:cNvPr>
            <xdr:cNvCxnSpPr/>
          </xdr:nvCxnSpPr>
          <xdr:spPr>
            <a:xfrm rot="10800000" flipH="1" flipV="1">
              <a:off x="6139420" y="1284337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6" name="Conector recto 55">
              <a:extLst>
                <a:ext uri="{FF2B5EF4-FFF2-40B4-BE49-F238E27FC236}">
                  <a16:creationId xmlns:a16="http://schemas.microsoft.com/office/drawing/2014/main" id="{EA475E22-C191-431A-ABED-36BCA10BA969}"/>
                </a:ext>
              </a:extLst>
            </xdr:cNvPr>
            <xdr:cNvCxnSpPr/>
          </xdr:nvCxnSpPr>
          <xdr:spPr>
            <a:xfrm rot="10800000" flipH="1" flipV="1">
              <a:off x="6139420" y="1404082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7" name="Conector recto 56">
              <a:extLst>
                <a:ext uri="{FF2B5EF4-FFF2-40B4-BE49-F238E27FC236}">
                  <a16:creationId xmlns:a16="http://schemas.microsoft.com/office/drawing/2014/main" id="{C82B209B-4E66-454F-917C-2FAA915B7235}"/>
                </a:ext>
              </a:extLst>
            </xdr:cNvPr>
            <xdr:cNvCxnSpPr/>
          </xdr:nvCxnSpPr>
          <xdr:spPr>
            <a:xfrm rot="10800000" flipH="1" flipV="1">
              <a:off x="8339387" y="1041784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Conector recto 65">
              <a:extLst>
                <a:ext uri="{FF2B5EF4-FFF2-40B4-BE49-F238E27FC236}">
                  <a16:creationId xmlns:a16="http://schemas.microsoft.com/office/drawing/2014/main" id="{E16C1F4F-195C-44F4-AB7B-CEEAA871410E}"/>
                </a:ext>
              </a:extLst>
            </xdr:cNvPr>
            <xdr:cNvCxnSpPr/>
          </xdr:nvCxnSpPr>
          <xdr:spPr>
            <a:xfrm rot="10800000" flipH="1" flipV="1">
              <a:off x="8339387" y="935724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" name="Conector recto 68">
              <a:extLst>
                <a:ext uri="{FF2B5EF4-FFF2-40B4-BE49-F238E27FC236}">
                  <a16:creationId xmlns:a16="http://schemas.microsoft.com/office/drawing/2014/main" id="{03007739-16BE-4AE9-B343-5E626F1971BD}"/>
                </a:ext>
              </a:extLst>
            </xdr:cNvPr>
            <xdr:cNvCxnSpPr/>
          </xdr:nvCxnSpPr>
          <xdr:spPr>
            <a:xfrm rot="10800000" flipH="1" flipV="1">
              <a:off x="8339387" y="1164770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" name="Conector recto 69">
              <a:extLst>
                <a:ext uri="{FF2B5EF4-FFF2-40B4-BE49-F238E27FC236}">
                  <a16:creationId xmlns:a16="http://schemas.microsoft.com/office/drawing/2014/main" id="{ADC3C8BB-B13C-4B34-A2F7-887F3C39D259}"/>
                </a:ext>
              </a:extLst>
            </xdr:cNvPr>
            <xdr:cNvCxnSpPr/>
          </xdr:nvCxnSpPr>
          <xdr:spPr>
            <a:xfrm rot="10800000" flipH="1" flipV="1">
              <a:off x="8339387" y="1284337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" name="Conector recto 70">
              <a:extLst>
                <a:ext uri="{FF2B5EF4-FFF2-40B4-BE49-F238E27FC236}">
                  <a16:creationId xmlns:a16="http://schemas.microsoft.com/office/drawing/2014/main" id="{4AFDD171-C50F-40C8-825A-E67F71C77761}"/>
                </a:ext>
              </a:extLst>
            </xdr:cNvPr>
            <xdr:cNvCxnSpPr/>
          </xdr:nvCxnSpPr>
          <xdr:spPr>
            <a:xfrm rot="10800000" flipH="1" flipV="1">
              <a:off x="8339387" y="1404082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" name="Conector recto 71">
              <a:extLst>
                <a:ext uri="{FF2B5EF4-FFF2-40B4-BE49-F238E27FC236}">
                  <a16:creationId xmlns:a16="http://schemas.microsoft.com/office/drawing/2014/main" id="{C783F5B8-D60F-4454-BDAE-E385642CB06A}"/>
                </a:ext>
              </a:extLst>
            </xdr:cNvPr>
            <xdr:cNvCxnSpPr/>
          </xdr:nvCxnSpPr>
          <xdr:spPr>
            <a:xfrm rot="10800000" flipH="1" flipV="1">
              <a:off x="6139420" y="4512425"/>
              <a:ext cx="2203158" cy="6843"/>
            </a:xfrm>
            <a:prstGeom prst="line">
              <a:avLst/>
            </a:prstGeom>
            <a:ln>
              <a:solidFill>
                <a:srgbClr val="FFC000"/>
              </a:solidFill>
              <a:headEnd type="oval" w="sm" len="sm"/>
              <a:tailEnd type="oval" w="sm" len="sm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73" name="Conector recto 72">
              <a:extLst>
                <a:ext uri="{FF2B5EF4-FFF2-40B4-BE49-F238E27FC236}">
                  <a16:creationId xmlns:a16="http://schemas.microsoft.com/office/drawing/2014/main" id="{55367448-2861-41CB-9B3C-360553D85EAD}"/>
                </a:ext>
              </a:extLst>
            </xdr:cNvPr>
            <xdr:cNvCxnSpPr/>
          </xdr:nvCxnSpPr>
          <xdr:spPr>
            <a:xfrm rot="10800000" flipH="1" flipV="1">
              <a:off x="8339387" y="4512425"/>
              <a:ext cx="2206014" cy="6843"/>
            </a:xfrm>
            <a:prstGeom prst="line">
              <a:avLst/>
            </a:prstGeom>
            <a:ln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4" name="Rectángulo 73">
              <a:extLst>
                <a:ext uri="{FF2B5EF4-FFF2-40B4-BE49-F238E27FC236}">
                  <a16:creationId xmlns:a16="http://schemas.microsoft.com/office/drawing/2014/main" id="{2BA1D5AC-F6B8-43B0-9317-87ABFA38B4A4}"/>
                </a:ext>
              </a:extLst>
            </xdr:cNvPr>
            <xdr:cNvSpPr/>
          </xdr:nvSpPr>
          <xdr:spPr>
            <a:xfrm>
              <a:off x="6136547" y="880164"/>
              <a:ext cx="4418741" cy="3763896"/>
            </a:xfrm>
            <a:prstGeom prst="rect">
              <a:avLst/>
            </a:prstGeom>
            <a:noFill/>
            <a:ln w="6350">
              <a:solidFill>
                <a:srgbClr val="002060"/>
              </a:solidFill>
              <a:prstDash val="dash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ES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72"/>
  <sheetViews>
    <sheetView tabSelected="1" zoomScaleNormal="100" workbookViewId="0">
      <selection activeCell="I32" sqref="I32"/>
    </sheetView>
  </sheetViews>
  <sheetFormatPr defaultColWidth="11.42578125" defaultRowHeight="15"/>
  <cols>
    <col min="1" max="1" width="11.42578125" style="11"/>
    <col min="2" max="2" width="8.5703125" style="30" bestFit="1" customWidth="1"/>
    <col min="3" max="3" width="5.42578125" style="6" bestFit="1" customWidth="1"/>
    <col min="4" max="4" width="8.5703125" style="30" bestFit="1" customWidth="1"/>
    <col min="5" max="5" width="6.7109375" customWidth="1"/>
    <col min="6" max="6" width="11.140625" bestFit="1" customWidth="1"/>
    <col min="8" max="8" width="10.7109375" customWidth="1"/>
    <col min="9" max="9" width="12.5703125" bestFit="1" customWidth="1"/>
    <col min="10" max="10" width="13.5703125" customWidth="1"/>
    <col min="11" max="11" width="18.140625" bestFit="1" customWidth="1"/>
    <col min="15" max="15" width="17.28515625" bestFit="1" customWidth="1"/>
  </cols>
  <sheetData>
    <row r="1" spans="1:14" ht="15.75" thickBot="1">
      <c r="A1" s="10" t="s">
        <v>0</v>
      </c>
      <c r="B1" s="26" t="s">
        <v>1</v>
      </c>
      <c r="C1" s="5" t="s">
        <v>2</v>
      </c>
      <c r="D1" s="26" t="s">
        <v>3</v>
      </c>
      <c r="E1" s="4" t="s">
        <v>4</v>
      </c>
      <c r="F1" s="2" t="s">
        <v>5</v>
      </c>
      <c r="G1" s="2" t="s">
        <v>6</v>
      </c>
      <c r="H1" s="2" t="s">
        <v>5</v>
      </c>
      <c r="I1" s="2" t="s">
        <v>7</v>
      </c>
      <c r="L1" s="10" t="s">
        <v>8</v>
      </c>
      <c r="M1" s="10" t="s">
        <v>9</v>
      </c>
    </row>
    <row r="2" spans="1:14" ht="15.75" thickBot="1">
      <c r="A2" s="11">
        <v>1</v>
      </c>
      <c r="B2" s="27">
        <v>0</v>
      </c>
      <c r="C2" s="7">
        <v>0</v>
      </c>
      <c r="D2" s="27">
        <v>0</v>
      </c>
      <c r="E2" s="7">
        <v>5000</v>
      </c>
      <c r="F2" s="21"/>
      <c r="G2" s="23">
        <f>distancia(B2,C2,D2,E2)</f>
        <v>5000</v>
      </c>
      <c r="H2" s="25">
        <f>distancia(D2,E2,$L$2,$M$2)</f>
        <v>5571.3553108736478</v>
      </c>
      <c r="I2" s="1">
        <f>SUM(F2:H4)</f>
        <v>22581.936813368593</v>
      </c>
      <c r="K2" s="3" t="s">
        <v>10</v>
      </c>
      <c r="L2" s="15">
        <v>2000</v>
      </c>
      <c r="M2" s="16">
        <v>-200</v>
      </c>
    </row>
    <row r="3" spans="1:14">
      <c r="A3" s="11">
        <v>2</v>
      </c>
      <c r="B3" s="28">
        <v>57.6</v>
      </c>
      <c r="C3" s="8">
        <v>0</v>
      </c>
      <c r="D3" s="28">
        <v>57.6</v>
      </c>
      <c r="E3" s="8">
        <v>5000</v>
      </c>
      <c r="F3" s="22"/>
      <c r="G3" s="23">
        <f>distancia(D3,E3,B3,C3)</f>
        <v>5000</v>
      </c>
      <c r="H3" s="24">
        <f>distancia(B3,C3,B2,C2)</f>
        <v>57.6</v>
      </c>
      <c r="I3" s="1"/>
    </row>
    <row r="4" spans="1:14">
      <c r="A4" s="11">
        <v>3</v>
      </c>
      <c r="B4" s="28">
        <v>115.2</v>
      </c>
      <c r="C4" s="8">
        <v>0</v>
      </c>
      <c r="D4" s="28">
        <v>115.2</v>
      </c>
      <c r="E4" s="8">
        <v>5000</v>
      </c>
      <c r="F4" s="25">
        <f>distancia($L$2,$M$2,B4,C4)</f>
        <v>1895.3815024949463</v>
      </c>
      <c r="G4" s="23">
        <f>distancia(B4,C4,D4,E4)</f>
        <v>5000</v>
      </c>
      <c r="H4" s="24">
        <f>distancia(D4,E4,D3,E3)</f>
        <v>57.6</v>
      </c>
      <c r="I4" s="1"/>
      <c r="K4" s="12" t="s">
        <v>11</v>
      </c>
      <c r="L4" s="13">
        <v>0.75</v>
      </c>
      <c r="M4" s="14">
        <v>18750</v>
      </c>
      <c r="N4" t="s">
        <v>12</v>
      </c>
    </row>
    <row r="5" spans="1:14">
      <c r="A5" s="11">
        <v>4</v>
      </c>
      <c r="B5" s="28">
        <v>172.8</v>
      </c>
      <c r="C5" s="8">
        <v>0</v>
      </c>
      <c r="D5" s="28">
        <v>172.8</v>
      </c>
      <c r="E5" s="8">
        <v>5000</v>
      </c>
      <c r="F5" s="21"/>
      <c r="G5" s="1"/>
      <c r="H5" s="1"/>
      <c r="I5" s="1"/>
    </row>
    <row r="6" spans="1:14">
      <c r="A6" s="11">
        <v>5</v>
      </c>
      <c r="B6" s="28">
        <v>230.4</v>
      </c>
      <c r="C6" s="8">
        <v>0</v>
      </c>
      <c r="D6" s="28">
        <v>230.4</v>
      </c>
      <c r="E6" s="8">
        <v>5000</v>
      </c>
      <c r="F6" s="21"/>
      <c r="G6" s="1"/>
      <c r="H6" s="1"/>
      <c r="I6" s="1"/>
    </row>
    <row r="7" spans="1:14">
      <c r="A7" s="11">
        <v>6</v>
      </c>
      <c r="B7" s="28">
        <v>288</v>
      </c>
      <c r="C7" s="8">
        <v>0</v>
      </c>
      <c r="D7" s="28">
        <v>288</v>
      </c>
      <c r="E7" s="8">
        <v>5000</v>
      </c>
      <c r="F7" s="21"/>
      <c r="G7" s="1"/>
      <c r="H7" s="1"/>
      <c r="I7" s="1"/>
    </row>
    <row r="8" spans="1:14">
      <c r="A8" s="11">
        <v>7</v>
      </c>
      <c r="B8" s="28">
        <v>345.6</v>
      </c>
      <c r="C8" s="8">
        <v>0</v>
      </c>
      <c r="D8" s="28">
        <v>345.6</v>
      </c>
      <c r="E8" s="8">
        <v>5000</v>
      </c>
      <c r="F8" s="21"/>
      <c r="G8" s="1"/>
      <c r="H8" s="1"/>
      <c r="I8" s="1"/>
    </row>
    <row r="9" spans="1:14">
      <c r="A9" s="11">
        <v>8</v>
      </c>
      <c r="B9" s="28">
        <v>403.2</v>
      </c>
      <c r="C9" s="8">
        <v>0</v>
      </c>
      <c r="D9" s="28">
        <v>403.2</v>
      </c>
      <c r="E9" s="8">
        <v>5000</v>
      </c>
      <c r="F9" s="21"/>
      <c r="G9" s="1"/>
      <c r="H9" s="1"/>
      <c r="I9" s="1"/>
      <c r="J9" s="1"/>
    </row>
    <row r="10" spans="1:14">
      <c r="A10" s="11">
        <v>9</v>
      </c>
      <c r="B10" s="28">
        <v>460.8</v>
      </c>
      <c r="C10" s="8">
        <v>0</v>
      </c>
      <c r="D10" s="28">
        <v>460.8</v>
      </c>
      <c r="E10" s="8">
        <v>5000</v>
      </c>
      <c r="F10" s="21"/>
      <c r="G10" s="1"/>
      <c r="H10" s="1"/>
      <c r="I10" s="1"/>
      <c r="J10" s="1"/>
    </row>
    <row r="11" spans="1:14">
      <c r="A11" s="11">
        <v>10</v>
      </c>
      <c r="B11" s="28">
        <v>518.4</v>
      </c>
      <c r="C11" s="8">
        <v>0</v>
      </c>
      <c r="D11" s="28">
        <v>518.4</v>
      </c>
      <c r="E11" s="8">
        <v>5000</v>
      </c>
      <c r="F11" s="21"/>
      <c r="G11" s="1"/>
      <c r="H11" s="1"/>
      <c r="I11" s="1"/>
      <c r="J11" s="1"/>
    </row>
    <row r="12" spans="1:14">
      <c r="A12" s="11">
        <v>11</v>
      </c>
      <c r="B12" s="28">
        <v>576</v>
      </c>
      <c r="C12" s="8">
        <v>0</v>
      </c>
      <c r="D12" s="28">
        <v>576</v>
      </c>
      <c r="E12" s="8">
        <v>5000</v>
      </c>
      <c r="F12" s="21"/>
      <c r="G12" s="1"/>
      <c r="H12" s="1"/>
      <c r="I12" s="1"/>
      <c r="J12" s="1"/>
      <c r="K12" s="2" t="s">
        <v>13</v>
      </c>
    </row>
    <row r="13" spans="1:14" ht="15.75" thickBot="1">
      <c r="A13" s="11">
        <v>12</v>
      </c>
      <c r="B13" s="28">
        <v>633.6</v>
      </c>
      <c r="C13" s="8">
        <v>0</v>
      </c>
      <c r="D13" s="28">
        <v>633.6</v>
      </c>
      <c r="E13" s="8">
        <v>5000</v>
      </c>
      <c r="F13" s="21"/>
      <c r="G13" s="1"/>
      <c r="H13" s="1"/>
      <c r="I13" s="1"/>
      <c r="J13" s="1"/>
    </row>
    <row r="14" spans="1:14">
      <c r="A14" s="11">
        <v>13</v>
      </c>
      <c r="B14" s="28">
        <v>691.2</v>
      </c>
      <c r="C14" s="8">
        <v>0</v>
      </c>
      <c r="D14" s="28">
        <v>691.2</v>
      </c>
      <c r="E14" s="8">
        <v>5000</v>
      </c>
      <c r="F14" s="21"/>
      <c r="G14" s="1"/>
      <c r="H14" s="1"/>
      <c r="I14" s="1"/>
      <c r="J14" s="1"/>
      <c r="M14" s="17" t="s">
        <v>14</v>
      </c>
    </row>
    <row r="15" spans="1:14" ht="15.75" thickBot="1">
      <c r="A15" s="11">
        <v>14</v>
      </c>
      <c r="B15" s="28">
        <v>748.8</v>
      </c>
      <c r="C15" s="8">
        <v>0</v>
      </c>
      <c r="D15" s="28">
        <v>748.8</v>
      </c>
      <c r="E15" s="8">
        <v>5000</v>
      </c>
      <c r="F15" s="21"/>
      <c r="G15" s="1"/>
      <c r="H15" s="1"/>
      <c r="I15" s="1"/>
      <c r="J15" s="10"/>
      <c r="M15" s="18">
        <f>I4</f>
        <v>0</v>
      </c>
    </row>
    <row r="16" spans="1:14">
      <c r="A16" s="11">
        <v>15</v>
      </c>
      <c r="B16" s="28">
        <v>806.4</v>
      </c>
      <c r="C16" s="8">
        <v>0</v>
      </c>
      <c r="D16" s="28">
        <v>806.4</v>
      </c>
      <c r="E16" s="8">
        <v>5000</v>
      </c>
      <c r="F16" s="21"/>
      <c r="G16" s="1"/>
      <c r="H16" s="1"/>
      <c r="I16" s="1"/>
      <c r="J16" s="19" t="s">
        <v>15</v>
      </c>
    </row>
    <row r="17" spans="1:13">
      <c r="A17" s="11">
        <v>16</v>
      </c>
      <c r="B17" s="28">
        <v>864</v>
      </c>
      <c r="C17" s="8">
        <v>0</v>
      </c>
      <c r="D17" s="28">
        <v>864</v>
      </c>
      <c r="E17" s="8">
        <v>5000</v>
      </c>
      <c r="F17" s="21"/>
      <c r="G17" s="1"/>
      <c r="H17" s="1"/>
      <c r="I17" s="1"/>
      <c r="J17" s="19"/>
    </row>
    <row r="18" spans="1:13">
      <c r="A18" s="11">
        <v>17</v>
      </c>
      <c r="B18" s="28">
        <v>921.6</v>
      </c>
      <c r="C18" s="8">
        <v>0</v>
      </c>
      <c r="D18" s="28">
        <v>921.6</v>
      </c>
      <c r="E18" s="8">
        <v>5000</v>
      </c>
      <c r="F18" s="21"/>
      <c r="G18" s="1"/>
      <c r="H18" s="1"/>
      <c r="I18" s="1"/>
      <c r="J18" s="19" t="s">
        <v>16</v>
      </c>
    </row>
    <row r="19" spans="1:13">
      <c r="A19" s="11">
        <v>18</v>
      </c>
      <c r="B19" s="28">
        <v>979.2</v>
      </c>
      <c r="C19" s="8">
        <v>0</v>
      </c>
      <c r="D19" s="28">
        <v>979.2</v>
      </c>
      <c r="E19" s="8">
        <v>5000</v>
      </c>
      <c r="F19" s="21"/>
      <c r="G19" s="1"/>
      <c r="H19" s="1"/>
      <c r="I19" s="1"/>
      <c r="J19" s="19"/>
    </row>
    <row r="20" spans="1:13">
      <c r="A20" s="11">
        <v>19</v>
      </c>
      <c r="B20" s="28">
        <v>1036.8</v>
      </c>
      <c r="C20" s="8">
        <v>0</v>
      </c>
      <c r="D20" s="28">
        <v>1036.8</v>
      </c>
      <c r="E20" s="8">
        <v>5000</v>
      </c>
      <c r="F20" s="21"/>
      <c r="G20" s="1"/>
      <c r="H20" s="1"/>
      <c r="I20" s="1"/>
      <c r="J20" s="19" t="s">
        <v>17</v>
      </c>
    </row>
    <row r="21" spans="1:13">
      <c r="A21" s="11">
        <v>20</v>
      </c>
      <c r="B21" s="28">
        <v>1094.4000000000001</v>
      </c>
      <c r="C21" s="8">
        <v>0</v>
      </c>
      <c r="D21" s="28">
        <v>1094.4000000000001</v>
      </c>
      <c r="E21" s="8">
        <v>5000</v>
      </c>
      <c r="F21" s="21"/>
      <c r="G21" s="1"/>
      <c r="H21" s="1"/>
      <c r="I21" s="1"/>
      <c r="J21" s="1"/>
    </row>
    <row r="22" spans="1:13">
      <c r="A22" s="11">
        <v>21</v>
      </c>
      <c r="B22" s="28">
        <v>1152</v>
      </c>
      <c r="C22" s="8">
        <v>0</v>
      </c>
      <c r="D22" s="28">
        <v>1152</v>
      </c>
      <c r="E22" s="8">
        <v>5000</v>
      </c>
      <c r="F22" s="21"/>
      <c r="G22" s="1"/>
      <c r="H22" s="1"/>
      <c r="I22" s="1"/>
      <c r="J22" s="1"/>
      <c r="K22" t="s">
        <v>18</v>
      </c>
      <c r="M22" t="s">
        <v>19</v>
      </c>
    </row>
    <row r="23" spans="1:13">
      <c r="A23" s="11">
        <v>22</v>
      </c>
      <c r="B23" s="28">
        <v>1209.5999999999999</v>
      </c>
      <c r="C23" s="8">
        <v>0</v>
      </c>
      <c r="D23" s="28">
        <v>1209.5999999999999</v>
      </c>
      <c r="E23" s="8">
        <v>5000</v>
      </c>
      <c r="F23" s="21"/>
      <c r="G23" s="1"/>
      <c r="H23" s="1"/>
      <c r="I23" s="1"/>
      <c r="J23" s="1"/>
      <c r="K23" t="s">
        <v>20</v>
      </c>
      <c r="L23" s="20"/>
      <c r="M23" t="s">
        <v>21</v>
      </c>
    </row>
    <row r="24" spans="1:13">
      <c r="A24" s="11">
        <v>23</v>
      </c>
      <c r="B24" s="28">
        <v>1267.2</v>
      </c>
      <c r="C24" s="8">
        <v>0</v>
      </c>
      <c r="D24" s="28">
        <v>1267.2</v>
      </c>
      <c r="E24" s="8">
        <v>5000</v>
      </c>
      <c r="F24" s="21"/>
      <c r="G24" s="1"/>
      <c r="H24" s="1"/>
      <c r="I24" s="1"/>
      <c r="J24" s="1"/>
      <c r="L24" s="20"/>
      <c r="M24" s="2" t="s">
        <v>22</v>
      </c>
    </row>
    <row r="25" spans="1:13">
      <c r="A25" s="11">
        <v>24</v>
      </c>
      <c r="B25" s="28">
        <v>1324.8</v>
      </c>
      <c r="C25" s="8">
        <v>0</v>
      </c>
      <c r="D25" s="28">
        <v>1324.8</v>
      </c>
      <c r="E25" s="8">
        <v>5000</v>
      </c>
      <c r="F25" s="21"/>
      <c r="G25" s="1"/>
      <c r="H25" s="1"/>
      <c r="I25" s="1"/>
      <c r="J25" s="1"/>
      <c r="L25" s="20"/>
      <c r="M25" s="2" t="s">
        <v>23</v>
      </c>
    </row>
    <row r="26" spans="1:13">
      <c r="A26" s="11">
        <v>25</v>
      </c>
      <c r="B26" s="28">
        <v>1382.4</v>
      </c>
      <c r="C26" s="8">
        <v>0</v>
      </c>
      <c r="D26" s="28">
        <v>1382.4</v>
      </c>
      <c r="E26" s="8">
        <v>5000</v>
      </c>
      <c r="F26" s="21"/>
      <c r="G26" s="1"/>
      <c r="H26" s="1"/>
      <c r="I26" s="1"/>
      <c r="J26" s="1"/>
    </row>
    <row r="27" spans="1:13">
      <c r="A27" s="11">
        <v>26</v>
      </c>
      <c r="B27" s="28">
        <v>1440</v>
      </c>
      <c r="C27" s="8">
        <v>0</v>
      </c>
      <c r="D27" s="28">
        <v>1440</v>
      </c>
      <c r="E27" s="8">
        <v>5000</v>
      </c>
      <c r="F27" s="21"/>
      <c r="G27" s="1"/>
      <c r="H27" s="1"/>
      <c r="I27" s="1"/>
      <c r="J27" s="1"/>
    </row>
    <row r="28" spans="1:13">
      <c r="A28" s="11">
        <v>27</v>
      </c>
      <c r="B28" s="28">
        <v>1497.6</v>
      </c>
      <c r="C28" s="8">
        <v>0</v>
      </c>
      <c r="D28" s="28">
        <v>1497.6</v>
      </c>
      <c r="E28" s="8">
        <v>5000</v>
      </c>
      <c r="F28" s="21"/>
      <c r="G28" s="1"/>
      <c r="H28" s="1"/>
      <c r="I28" s="1"/>
      <c r="J28" s="1"/>
    </row>
    <row r="29" spans="1:13">
      <c r="A29" s="11">
        <v>28</v>
      </c>
      <c r="B29" s="28">
        <v>1555.2</v>
      </c>
      <c r="C29" s="8">
        <v>0</v>
      </c>
      <c r="D29" s="28">
        <v>1555.2</v>
      </c>
      <c r="E29" s="8">
        <v>5000</v>
      </c>
      <c r="F29" s="21"/>
      <c r="G29" s="1"/>
      <c r="H29" s="1"/>
      <c r="I29" s="1"/>
      <c r="J29" s="1"/>
    </row>
    <row r="30" spans="1:13">
      <c r="A30" s="11">
        <v>29</v>
      </c>
      <c r="B30" s="28">
        <v>1612.8</v>
      </c>
      <c r="C30" s="8">
        <v>0</v>
      </c>
      <c r="D30" s="28">
        <v>1612.8</v>
      </c>
      <c r="E30" s="8">
        <v>5000</v>
      </c>
      <c r="F30" s="21"/>
      <c r="G30" s="1"/>
      <c r="H30" s="1"/>
      <c r="I30" s="1"/>
      <c r="J30" s="1"/>
    </row>
    <row r="31" spans="1:13">
      <c r="A31" s="11">
        <v>30</v>
      </c>
      <c r="B31" s="28">
        <v>1670.4</v>
      </c>
      <c r="C31" s="8">
        <v>0</v>
      </c>
      <c r="D31" s="28">
        <v>1670.4</v>
      </c>
      <c r="E31" s="8">
        <v>5000</v>
      </c>
      <c r="F31" s="21"/>
      <c r="G31" s="1"/>
      <c r="H31" s="1"/>
      <c r="I31" s="1"/>
      <c r="J31" s="1"/>
    </row>
    <row r="32" spans="1:13">
      <c r="A32" s="11">
        <v>31</v>
      </c>
      <c r="B32" s="28">
        <v>1728</v>
      </c>
      <c r="C32" s="8">
        <v>0</v>
      </c>
      <c r="D32" s="28">
        <v>1728</v>
      </c>
      <c r="E32" s="8">
        <v>5000</v>
      </c>
      <c r="F32" s="21"/>
      <c r="G32" s="1"/>
      <c r="H32" s="1"/>
      <c r="I32" s="1"/>
      <c r="J32" s="1"/>
    </row>
    <row r="33" spans="1:10">
      <c r="A33" s="11">
        <v>32</v>
      </c>
      <c r="B33" s="28">
        <v>1785.6</v>
      </c>
      <c r="C33" s="8">
        <v>0</v>
      </c>
      <c r="D33" s="28">
        <v>1785.6</v>
      </c>
      <c r="E33" s="8">
        <v>5000</v>
      </c>
      <c r="F33" s="21"/>
      <c r="G33" s="1"/>
      <c r="H33" s="1"/>
      <c r="I33" s="1"/>
      <c r="J33" s="1"/>
    </row>
    <row r="34" spans="1:10">
      <c r="A34" s="11">
        <v>33</v>
      </c>
      <c r="B34" s="28">
        <v>1843.2</v>
      </c>
      <c r="C34" s="8">
        <v>0</v>
      </c>
      <c r="D34" s="28">
        <v>1843.2</v>
      </c>
      <c r="E34" s="8">
        <v>5000</v>
      </c>
      <c r="F34" s="21"/>
      <c r="G34" s="1"/>
      <c r="H34" s="1"/>
      <c r="I34" s="1"/>
      <c r="J34" s="1"/>
    </row>
    <row r="35" spans="1:10">
      <c r="A35" s="11">
        <v>34</v>
      </c>
      <c r="B35" s="28">
        <v>1900.8</v>
      </c>
      <c r="C35" s="8">
        <v>0</v>
      </c>
      <c r="D35" s="28">
        <v>1900.8</v>
      </c>
      <c r="E35" s="8">
        <v>5000</v>
      </c>
      <c r="F35" s="21"/>
      <c r="G35" s="1"/>
      <c r="H35" s="1"/>
      <c r="I35" s="1"/>
      <c r="J35" s="1"/>
    </row>
    <row r="36" spans="1:10">
      <c r="A36" s="11">
        <v>35</v>
      </c>
      <c r="B36" s="28">
        <v>1958.4</v>
      </c>
      <c r="C36" s="8">
        <v>0</v>
      </c>
      <c r="D36" s="28">
        <v>1958.4</v>
      </c>
      <c r="E36" s="8">
        <v>5000</v>
      </c>
      <c r="F36" s="21"/>
      <c r="G36" s="1"/>
      <c r="H36" s="1"/>
      <c r="I36" s="1"/>
      <c r="J36" s="1"/>
    </row>
    <row r="37" spans="1:10">
      <c r="A37" s="11">
        <v>36</v>
      </c>
      <c r="B37" s="28">
        <v>2016</v>
      </c>
      <c r="C37" s="8">
        <v>0</v>
      </c>
      <c r="D37" s="28">
        <v>2016</v>
      </c>
      <c r="E37" s="8">
        <v>5000</v>
      </c>
      <c r="F37" s="21"/>
      <c r="G37" s="1"/>
      <c r="H37" s="1"/>
      <c r="I37" s="1"/>
      <c r="J37" s="1"/>
    </row>
    <row r="38" spans="1:10">
      <c r="A38" s="11">
        <v>37</v>
      </c>
      <c r="B38" s="28">
        <v>2073.6</v>
      </c>
      <c r="C38" s="8">
        <v>0</v>
      </c>
      <c r="D38" s="28">
        <v>2073.6</v>
      </c>
      <c r="E38" s="8">
        <v>5000</v>
      </c>
      <c r="F38" s="21"/>
      <c r="G38" s="1"/>
      <c r="H38" s="1"/>
      <c r="I38" s="1"/>
      <c r="J38" s="1"/>
    </row>
    <row r="39" spans="1:10">
      <c r="A39" s="11">
        <v>38</v>
      </c>
      <c r="B39" s="28">
        <v>2131.1999999999998</v>
      </c>
      <c r="C39" s="8">
        <v>0</v>
      </c>
      <c r="D39" s="28">
        <v>2131.1999999999998</v>
      </c>
      <c r="E39" s="8">
        <v>5000</v>
      </c>
      <c r="F39" s="21"/>
      <c r="G39" s="1"/>
      <c r="H39" s="1"/>
      <c r="I39" s="1"/>
      <c r="J39" s="1"/>
    </row>
    <row r="40" spans="1:10">
      <c r="A40" s="11">
        <v>39</v>
      </c>
      <c r="B40" s="28">
        <v>2188.8000000000002</v>
      </c>
      <c r="C40" s="8">
        <v>0</v>
      </c>
      <c r="D40" s="28">
        <v>2188.8000000000002</v>
      </c>
      <c r="E40" s="8">
        <v>5000</v>
      </c>
      <c r="F40" s="21"/>
      <c r="G40" s="1"/>
      <c r="H40" s="1"/>
      <c r="I40" s="1"/>
      <c r="J40" s="1"/>
    </row>
    <row r="41" spans="1:10">
      <c r="A41" s="11">
        <v>40</v>
      </c>
      <c r="B41" s="28">
        <v>2246.4</v>
      </c>
      <c r="C41" s="8">
        <v>0</v>
      </c>
      <c r="D41" s="28">
        <v>2246.4</v>
      </c>
      <c r="E41" s="8">
        <v>5000</v>
      </c>
      <c r="F41" s="21"/>
      <c r="G41" s="1"/>
      <c r="H41" s="1"/>
      <c r="I41" s="1"/>
      <c r="J41" s="1"/>
    </row>
    <row r="42" spans="1:10">
      <c r="A42" s="11">
        <v>41</v>
      </c>
      <c r="B42" s="28">
        <v>2304</v>
      </c>
      <c r="C42" s="8">
        <v>0</v>
      </c>
      <c r="D42" s="28">
        <v>2304</v>
      </c>
      <c r="E42" s="8">
        <v>5000</v>
      </c>
      <c r="F42" s="21"/>
      <c r="G42" s="1"/>
      <c r="H42" s="1"/>
      <c r="I42" s="1"/>
      <c r="J42" s="1"/>
    </row>
    <row r="43" spans="1:10">
      <c r="A43" s="11">
        <v>42</v>
      </c>
      <c r="B43" s="28">
        <v>2361.6</v>
      </c>
      <c r="C43" s="8">
        <v>0</v>
      </c>
      <c r="D43" s="28">
        <v>2361.6</v>
      </c>
      <c r="E43" s="8">
        <v>5000</v>
      </c>
      <c r="F43" s="21"/>
      <c r="G43" s="1"/>
      <c r="H43" s="1"/>
      <c r="I43" s="1"/>
      <c r="J43" s="1"/>
    </row>
    <row r="44" spans="1:10">
      <c r="A44" s="11">
        <v>43</v>
      </c>
      <c r="B44" s="28">
        <v>2419.1999999999998</v>
      </c>
      <c r="C44" s="8">
        <v>0</v>
      </c>
      <c r="D44" s="28">
        <v>2419.1999999999998</v>
      </c>
      <c r="E44" s="8">
        <v>5000</v>
      </c>
      <c r="F44" s="21"/>
      <c r="G44" s="1"/>
      <c r="H44" s="1"/>
      <c r="I44" s="1"/>
      <c r="J44" s="1"/>
    </row>
    <row r="45" spans="1:10">
      <c r="A45" s="11">
        <v>44</v>
      </c>
      <c r="B45" s="28">
        <v>2476.8000000000002</v>
      </c>
      <c r="C45" s="8">
        <v>0</v>
      </c>
      <c r="D45" s="28">
        <v>2476.8000000000002</v>
      </c>
      <c r="E45" s="8">
        <v>5000</v>
      </c>
      <c r="F45" s="21"/>
      <c r="G45" s="1"/>
      <c r="H45" s="1"/>
      <c r="I45" s="1"/>
      <c r="J45" s="1"/>
    </row>
    <row r="46" spans="1:10">
      <c r="A46" s="11">
        <v>45</v>
      </c>
      <c r="B46" s="28">
        <v>2534.4</v>
      </c>
      <c r="C46" s="8">
        <v>0</v>
      </c>
      <c r="D46" s="28">
        <v>2534.4</v>
      </c>
      <c r="E46" s="8">
        <v>5000</v>
      </c>
      <c r="F46" s="21"/>
      <c r="G46" s="1"/>
      <c r="H46" s="1"/>
      <c r="I46" s="1"/>
      <c r="J46" s="1"/>
    </row>
    <row r="47" spans="1:10">
      <c r="A47" s="11">
        <v>46</v>
      </c>
      <c r="B47" s="28">
        <v>2592</v>
      </c>
      <c r="C47" s="8">
        <v>0</v>
      </c>
      <c r="D47" s="28">
        <v>2592</v>
      </c>
      <c r="E47" s="8">
        <v>5000</v>
      </c>
      <c r="F47" s="21"/>
      <c r="G47" s="1"/>
      <c r="H47" s="1"/>
      <c r="I47" s="1"/>
      <c r="J47" s="1"/>
    </row>
    <row r="48" spans="1:10">
      <c r="A48" s="11">
        <v>47</v>
      </c>
      <c r="B48" s="28">
        <v>2649.6</v>
      </c>
      <c r="C48" s="8">
        <v>0</v>
      </c>
      <c r="D48" s="28">
        <v>2649.6</v>
      </c>
      <c r="E48" s="8">
        <v>5000</v>
      </c>
      <c r="F48" s="21"/>
      <c r="G48" s="1"/>
      <c r="H48" s="1"/>
      <c r="I48" s="1"/>
      <c r="J48" s="1"/>
    </row>
    <row r="49" spans="1:10">
      <c r="A49" s="11">
        <v>48</v>
      </c>
      <c r="B49" s="28">
        <v>2707.2</v>
      </c>
      <c r="C49" s="8">
        <v>0</v>
      </c>
      <c r="D49" s="28">
        <v>2707.2</v>
      </c>
      <c r="E49" s="8">
        <v>5000</v>
      </c>
      <c r="F49" s="21"/>
      <c r="G49" s="1"/>
      <c r="H49" s="1"/>
      <c r="I49" s="1"/>
      <c r="J49" s="1"/>
    </row>
    <row r="50" spans="1:10">
      <c r="A50" s="11">
        <v>49</v>
      </c>
      <c r="B50" s="28">
        <v>2764.8</v>
      </c>
      <c r="C50" s="8">
        <v>0</v>
      </c>
      <c r="D50" s="28">
        <v>2764.8</v>
      </c>
      <c r="E50" s="8">
        <v>5000</v>
      </c>
      <c r="F50" s="21"/>
      <c r="G50" s="1"/>
      <c r="H50" s="1"/>
      <c r="I50" s="1"/>
      <c r="J50" s="1"/>
    </row>
    <row r="51" spans="1:10">
      <c r="A51" s="11">
        <v>50</v>
      </c>
      <c r="B51" s="28">
        <v>2822.4</v>
      </c>
      <c r="C51" s="8">
        <v>0</v>
      </c>
      <c r="D51" s="28">
        <v>2822.4</v>
      </c>
      <c r="E51" s="8">
        <v>5000</v>
      </c>
      <c r="F51" s="21"/>
      <c r="G51" s="1"/>
      <c r="H51" s="1"/>
      <c r="I51" s="1"/>
      <c r="J51" s="1"/>
    </row>
    <row r="52" spans="1:10">
      <c r="A52" s="11">
        <v>51</v>
      </c>
      <c r="B52" s="28">
        <v>2880</v>
      </c>
      <c r="C52" s="8">
        <v>0</v>
      </c>
      <c r="D52" s="28">
        <v>2880</v>
      </c>
      <c r="E52" s="8">
        <v>5000</v>
      </c>
      <c r="F52" s="21"/>
      <c r="G52" s="1"/>
      <c r="H52" s="1"/>
      <c r="I52" s="1"/>
      <c r="J52" s="1"/>
    </row>
    <row r="53" spans="1:10">
      <c r="A53" s="11">
        <v>52</v>
      </c>
      <c r="B53" s="28">
        <v>2937.6</v>
      </c>
      <c r="C53" s="8">
        <v>0</v>
      </c>
      <c r="D53" s="28">
        <v>2937.6</v>
      </c>
      <c r="E53" s="8">
        <v>5000</v>
      </c>
      <c r="F53" s="21"/>
      <c r="G53" s="1"/>
      <c r="H53" s="1"/>
      <c r="I53" s="1"/>
      <c r="J53" s="1"/>
    </row>
    <row r="54" spans="1:10">
      <c r="A54" s="11">
        <v>53</v>
      </c>
      <c r="B54" s="28">
        <v>2995.2</v>
      </c>
      <c r="C54" s="8">
        <v>0</v>
      </c>
      <c r="D54" s="28">
        <v>2995.2</v>
      </c>
      <c r="E54" s="8">
        <v>5000</v>
      </c>
      <c r="F54" s="21"/>
      <c r="G54" s="1"/>
      <c r="H54" s="1"/>
      <c r="I54" s="1"/>
      <c r="J54" s="1"/>
    </row>
    <row r="55" spans="1:10">
      <c r="A55" s="11">
        <v>54</v>
      </c>
      <c r="B55" s="28">
        <v>3052.8</v>
      </c>
      <c r="C55" s="8">
        <v>0</v>
      </c>
      <c r="D55" s="28">
        <v>3052.8</v>
      </c>
      <c r="E55" s="8">
        <v>5000</v>
      </c>
      <c r="F55" s="21"/>
      <c r="G55" s="1"/>
      <c r="H55" s="1"/>
      <c r="I55" s="1"/>
      <c r="J55" s="1"/>
    </row>
    <row r="56" spans="1:10">
      <c r="A56" s="11">
        <v>55</v>
      </c>
      <c r="B56" s="28">
        <v>3110.4</v>
      </c>
      <c r="C56" s="8">
        <v>0</v>
      </c>
      <c r="D56" s="28">
        <v>3110.4</v>
      </c>
      <c r="E56" s="8">
        <v>5000</v>
      </c>
      <c r="F56" s="21"/>
      <c r="G56" s="1"/>
      <c r="H56" s="1"/>
      <c r="I56" s="1"/>
      <c r="J56" s="1"/>
    </row>
    <row r="57" spans="1:10">
      <c r="A57" s="11">
        <v>56</v>
      </c>
      <c r="B57" s="28">
        <v>3168</v>
      </c>
      <c r="C57" s="8">
        <v>0</v>
      </c>
      <c r="D57" s="28">
        <v>3168</v>
      </c>
      <c r="E57" s="8">
        <v>5000</v>
      </c>
      <c r="F57" s="21"/>
      <c r="G57" s="1"/>
      <c r="H57" s="1"/>
      <c r="I57" s="1"/>
      <c r="J57" s="1"/>
    </row>
    <row r="58" spans="1:10">
      <c r="A58" s="11">
        <v>57</v>
      </c>
      <c r="B58" s="28">
        <v>3225.6</v>
      </c>
      <c r="C58" s="8">
        <v>0</v>
      </c>
      <c r="D58" s="28">
        <v>3225.6</v>
      </c>
      <c r="E58" s="8">
        <v>5000</v>
      </c>
      <c r="F58" s="21"/>
      <c r="G58" s="1"/>
      <c r="H58" s="1"/>
      <c r="I58" s="1"/>
      <c r="J58" s="1"/>
    </row>
    <row r="59" spans="1:10">
      <c r="A59" s="11">
        <v>58</v>
      </c>
      <c r="B59" s="28">
        <v>3283.2</v>
      </c>
      <c r="C59" s="8">
        <v>0</v>
      </c>
      <c r="D59" s="28">
        <v>3283.2</v>
      </c>
      <c r="E59" s="8">
        <v>5000</v>
      </c>
      <c r="F59" s="21"/>
      <c r="G59" s="1"/>
      <c r="H59" s="1"/>
      <c r="I59" s="1"/>
      <c r="J59" s="1"/>
    </row>
    <row r="60" spans="1:10">
      <c r="A60" s="11">
        <v>59</v>
      </c>
      <c r="B60" s="28">
        <v>3340.8</v>
      </c>
      <c r="C60" s="8">
        <v>0</v>
      </c>
      <c r="D60" s="28">
        <v>3340.8</v>
      </c>
      <c r="E60" s="8">
        <v>5000</v>
      </c>
      <c r="F60" s="21"/>
      <c r="G60" s="1"/>
      <c r="H60" s="1"/>
      <c r="I60" s="1"/>
      <c r="J60" s="1"/>
    </row>
    <row r="61" spans="1:10">
      <c r="A61" s="11">
        <v>60</v>
      </c>
      <c r="B61" s="28">
        <v>3398.4</v>
      </c>
      <c r="C61" s="8">
        <v>0</v>
      </c>
      <c r="D61" s="28">
        <v>3398.4</v>
      </c>
      <c r="E61" s="8">
        <v>5000</v>
      </c>
      <c r="F61" s="21"/>
      <c r="G61" s="1"/>
      <c r="H61" s="1"/>
      <c r="I61" s="1"/>
      <c r="J61" s="1"/>
    </row>
    <row r="62" spans="1:10">
      <c r="A62" s="11">
        <v>61</v>
      </c>
      <c r="B62" s="28">
        <v>3456</v>
      </c>
      <c r="C62" s="8">
        <v>0</v>
      </c>
      <c r="D62" s="28">
        <v>3456</v>
      </c>
      <c r="E62" s="8">
        <v>5000</v>
      </c>
      <c r="F62" s="21"/>
      <c r="G62" s="1"/>
      <c r="H62" s="1"/>
      <c r="I62" s="1"/>
      <c r="J62" s="1"/>
    </row>
    <row r="63" spans="1:10">
      <c r="A63" s="11">
        <v>62</v>
      </c>
      <c r="B63" s="28">
        <v>3513.6</v>
      </c>
      <c r="C63" s="8">
        <v>0</v>
      </c>
      <c r="D63" s="28">
        <v>3513.6</v>
      </c>
      <c r="E63" s="8">
        <v>5000</v>
      </c>
      <c r="F63" s="21"/>
      <c r="G63" s="1"/>
      <c r="H63" s="1"/>
      <c r="I63" s="1"/>
      <c r="J63" s="1"/>
    </row>
    <row r="64" spans="1:10">
      <c r="A64" s="11">
        <v>63</v>
      </c>
      <c r="B64" s="28">
        <v>3571.2</v>
      </c>
      <c r="C64" s="8">
        <v>0</v>
      </c>
      <c r="D64" s="28">
        <v>3571.2</v>
      </c>
      <c r="E64" s="8">
        <v>5000</v>
      </c>
      <c r="F64" s="21"/>
      <c r="G64" s="1"/>
      <c r="H64" s="1"/>
      <c r="I64" s="1"/>
      <c r="J64" s="1"/>
    </row>
    <row r="65" spans="1:10">
      <c r="A65" s="11">
        <v>64</v>
      </c>
      <c r="B65" s="28">
        <v>3628.8</v>
      </c>
      <c r="C65" s="8">
        <v>0</v>
      </c>
      <c r="D65" s="28">
        <v>3628.8</v>
      </c>
      <c r="E65" s="8">
        <v>5000</v>
      </c>
      <c r="F65" s="21"/>
      <c r="G65" s="1"/>
      <c r="H65" s="1"/>
      <c r="I65" s="1"/>
      <c r="J65" s="1"/>
    </row>
    <row r="66" spans="1:10">
      <c r="A66" s="11">
        <v>65</v>
      </c>
      <c r="B66" s="28">
        <v>3686.4</v>
      </c>
      <c r="C66" s="8">
        <v>0</v>
      </c>
      <c r="D66" s="28">
        <v>3686.4</v>
      </c>
      <c r="E66" s="8">
        <v>5000</v>
      </c>
      <c r="F66" s="21"/>
      <c r="G66" s="1"/>
      <c r="H66" s="1"/>
      <c r="I66" s="1"/>
      <c r="J66" s="1"/>
    </row>
    <row r="67" spans="1:10">
      <c r="A67" s="11">
        <v>66</v>
      </c>
      <c r="B67" s="28">
        <v>3744</v>
      </c>
      <c r="C67" s="8">
        <v>0</v>
      </c>
      <c r="D67" s="28">
        <v>3744</v>
      </c>
      <c r="E67" s="8">
        <v>5000</v>
      </c>
      <c r="F67" s="21"/>
      <c r="G67" s="1"/>
      <c r="H67" s="1"/>
      <c r="I67" s="1"/>
      <c r="J67" s="1"/>
    </row>
    <row r="68" spans="1:10">
      <c r="A68" s="11">
        <v>67</v>
      </c>
      <c r="B68" s="28">
        <v>3801.6</v>
      </c>
      <c r="C68" s="8">
        <v>0</v>
      </c>
      <c r="D68" s="28">
        <v>3801.6</v>
      </c>
      <c r="E68" s="8">
        <v>5000</v>
      </c>
      <c r="F68" s="21"/>
      <c r="G68" s="1"/>
      <c r="H68" s="1"/>
      <c r="I68" s="1"/>
      <c r="J68" s="1"/>
    </row>
    <row r="69" spans="1:10">
      <c r="A69" s="11">
        <v>68</v>
      </c>
      <c r="B69" s="28">
        <v>3859.2</v>
      </c>
      <c r="C69" s="8">
        <v>0</v>
      </c>
      <c r="D69" s="28">
        <v>3859.2</v>
      </c>
      <c r="E69" s="8">
        <v>5000</v>
      </c>
      <c r="F69" s="21"/>
      <c r="G69" s="1"/>
      <c r="H69" s="1"/>
      <c r="I69" s="1"/>
      <c r="J69" s="1"/>
    </row>
    <row r="70" spans="1:10">
      <c r="A70" s="11">
        <v>69</v>
      </c>
      <c r="B70" s="28">
        <v>3916.8</v>
      </c>
      <c r="C70" s="8">
        <v>0</v>
      </c>
      <c r="D70" s="28">
        <v>3916.8</v>
      </c>
      <c r="E70" s="8">
        <v>5000</v>
      </c>
      <c r="F70" s="21"/>
      <c r="G70" s="1"/>
      <c r="H70" s="1"/>
      <c r="I70" s="1"/>
      <c r="J70" s="1"/>
    </row>
    <row r="71" spans="1:10" ht="15.75" thickBot="1">
      <c r="A71" s="11">
        <v>70</v>
      </c>
      <c r="B71" s="29">
        <v>3974.4</v>
      </c>
      <c r="C71" s="9">
        <v>0</v>
      </c>
      <c r="D71" s="29">
        <v>3974.4</v>
      </c>
      <c r="E71" s="9">
        <v>5000</v>
      </c>
      <c r="F71" s="21"/>
      <c r="G71" s="1"/>
      <c r="H71" s="1"/>
      <c r="I71" s="1"/>
      <c r="J71" s="1"/>
    </row>
    <row r="72" spans="1:10">
      <c r="J72" s="1"/>
    </row>
  </sheetData>
  <pageMargins left="0.7" right="0.7" top="0.75" bottom="0.75" header="0.3" footer="0.3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7F7FF-32E2-4870-9801-04E69153D6AE}">
  <sheetPr codeName="Hoja2"/>
  <dimension ref="A1:P141"/>
  <sheetViews>
    <sheetView zoomScaleNormal="100" workbookViewId="0">
      <selection activeCell="E1" sqref="B1:E1"/>
    </sheetView>
  </sheetViews>
  <sheetFormatPr defaultColWidth="11.42578125" defaultRowHeight="15"/>
  <cols>
    <col min="1" max="1" width="10.7109375" style="11"/>
    <col min="2" max="2" width="6.5703125" style="30" bestFit="1" customWidth="1"/>
    <col min="3" max="3" width="5.42578125" style="6" bestFit="1" customWidth="1"/>
    <col min="4" max="4" width="6.5703125" style="30" bestFit="1" customWidth="1"/>
    <col min="5" max="5" width="6.7109375" customWidth="1"/>
    <col min="6" max="6" width="11.140625" bestFit="1" customWidth="1"/>
    <col min="8" max="8" width="10.7109375" customWidth="1"/>
    <col min="9" max="9" width="12.5703125" bestFit="1" customWidth="1"/>
    <col min="10" max="10" width="13.5703125" customWidth="1"/>
    <col min="11" max="11" width="18.140625" bestFit="1" customWidth="1"/>
    <col min="15" max="15" width="17.28515625" bestFit="1" customWidth="1"/>
  </cols>
  <sheetData>
    <row r="1" spans="1:16" ht="15.75" thickBot="1">
      <c r="A1" s="10" t="s">
        <v>0</v>
      </c>
      <c r="B1" s="26" t="s">
        <v>1</v>
      </c>
      <c r="C1" s="5" t="s">
        <v>2</v>
      </c>
      <c r="D1" s="26" t="s">
        <v>3</v>
      </c>
      <c r="E1" s="4" t="s">
        <v>4</v>
      </c>
      <c r="F1" s="2" t="s">
        <v>5</v>
      </c>
      <c r="G1" s="2" t="s">
        <v>6</v>
      </c>
      <c r="H1" s="2" t="s">
        <v>5</v>
      </c>
      <c r="I1" s="2" t="s">
        <v>7</v>
      </c>
      <c r="L1" s="10" t="s">
        <v>8</v>
      </c>
      <c r="M1" s="10" t="s">
        <v>9</v>
      </c>
    </row>
    <row r="2" spans="1:16" ht="15.75" thickBot="1">
      <c r="A2" s="11">
        <v>1</v>
      </c>
      <c r="B2" s="27">
        <v>0</v>
      </c>
      <c r="C2" s="7">
        <v>0</v>
      </c>
      <c r="D2" s="27">
        <v>0</v>
      </c>
      <c r="E2" s="7">
        <v>2500</v>
      </c>
      <c r="F2" s="25">
        <v>200</v>
      </c>
      <c r="G2" s="23">
        <f>distancia(B2,C2,D2,E2)</f>
        <v>2500</v>
      </c>
      <c r="H2" s="25"/>
      <c r="I2" s="1">
        <f>SUM(F2:H7)</f>
        <v>15976.000000000002</v>
      </c>
      <c r="K2" s="3" t="s">
        <v>10</v>
      </c>
      <c r="L2" s="15">
        <v>-200</v>
      </c>
      <c r="M2" s="16">
        <v>2500</v>
      </c>
    </row>
    <row r="3" spans="1:16">
      <c r="A3" s="11">
        <v>2</v>
      </c>
      <c r="B3" s="28">
        <v>57.6</v>
      </c>
      <c r="C3" s="8">
        <v>0</v>
      </c>
      <c r="D3" s="28">
        <v>57.6</v>
      </c>
      <c r="E3" s="7">
        <v>2500</v>
      </c>
      <c r="F3" s="22"/>
      <c r="G3" s="23">
        <f>distancia(D3,E3,B3,C3)</f>
        <v>2500</v>
      </c>
      <c r="H3" s="24">
        <f>distancia(B3,C3,B2,C2)</f>
        <v>57.6</v>
      </c>
      <c r="I3" s="1"/>
    </row>
    <row r="4" spans="1:16">
      <c r="A4" s="11">
        <v>3</v>
      </c>
      <c r="B4" s="28">
        <v>115.2</v>
      </c>
      <c r="C4" s="8">
        <v>0</v>
      </c>
      <c r="D4" s="28">
        <v>115.2</v>
      </c>
      <c r="E4" s="7">
        <v>2500</v>
      </c>
      <c r="G4" s="23">
        <f>distancia(B4,C4,D4,E4)</f>
        <v>2500</v>
      </c>
      <c r="H4" s="24">
        <f>distancia(D4,E4,D3,E3)</f>
        <v>57.6</v>
      </c>
      <c r="I4" s="1"/>
      <c r="K4" s="12" t="s">
        <v>11</v>
      </c>
      <c r="L4" s="13">
        <v>0.75</v>
      </c>
      <c r="M4" s="14">
        <v>18750</v>
      </c>
      <c r="N4" t="s">
        <v>12</v>
      </c>
    </row>
    <row r="5" spans="1:16">
      <c r="A5" s="11">
        <v>4</v>
      </c>
      <c r="B5" s="28">
        <v>172.8</v>
      </c>
      <c r="C5" s="8">
        <v>0</v>
      </c>
      <c r="D5" s="28">
        <v>172.8</v>
      </c>
      <c r="E5" s="7">
        <v>2500</v>
      </c>
      <c r="F5" s="25"/>
      <c r="G5" s="23">
        <f>distancia(B5,C5,D5,E5)</f>
        <v>2500</v>
      </c>
      <c r="H5" s="24">
        <f>distancia(D5,E5,D4,E4)</f>
        <v>57.600000000000009</v>
      </c>
      <c r="I5" s="1"/>
    </row>
    <row r="6" spans="1:16">
      <c r="A6" s="11">
        <v>5</v>
      </c>
      <c r="B6" s="28">
        <v>230.4</v>
      </c>
      <c r="C6" s="8">
        <v>0</v>
      </c>
      <c r="D6" s="28">
        <v>230.4</v>
      </c>
      <c r="E6" s="7">
        <v>2500</v>
      </c>
      <c r="F6" s="21"/>
      <c r="G6" s="23">
        <f>distancia(B6,C6,D6,E6)</f>
        <v>2500</v>
      </c>
      <c r="H6" s="24">
        <f>distancia(D6,E6,D5,E5)</f>
        <v>57.599999999999994</v>
      </c>
      <c r="I6" s="1"/>
    </row>
    <row r="7" spans="1:16">
      <c r="A7" s="11">
        <v>6</v>
      </c>
      <c r="B7" s="28">
        <v>288</v>
      </c>
      <c r="C7" s="8">
        <v>0</v>
      </c>
      <c r="D7" s="28">
        <v>288</v>
      </c>
      <c r="E7" s="7">
        <v>2500</v>
      </c>
      <c r="F7" s="25">
        <f>distancia($L$2,$M$2,D7,E7)</f>
        <v>488</v>
      </c>
      <c r="G7" s="23">
        <f>distancia(B7,C7,D7,E7)</f>
        <v>2500</v>
      </c>
      <c r="H7" s="24">
        <f>distancia(D7,E7,D6,E6)</f>
        <v>57.599999999999994</v>
      </c>
      <c r="I7" s="1"/>
    </row>
    <row r="8" spans="1:16">
      <c r="A8" s="11">
        <v>7</v>
      </c>
      <c r="B8" s="28">
        <v>345.6</v>
      </c>
      <c r="C8" s="8">
        <v>0</v>
      </c>
      <c r="D8" s="28">
        <v>345.6</v>
      </c>
      <c r="E8" s="7">
        <v>2500</v>
      </c>
      <c r="F8" s="21"/>
      <c r="G8" s="1"/>
      <c r="H8" s="1"/>
      <c r="I8" s="1"/>
    </row>
    <row r="9" spans="1:16">
      <c r="A9" s="11">
        <v>8</v>
      </c>
      <c r="B9" s="28">
        <v>403.2</v>
      </c>
      <c r="C9" s="8">
        <v>0</v>
      </c>
      <c r="D9" s="28">
        <v>403.2</v>
      </c>
      <c r="E9" s="7">
        <v>2500</v>
      </c>
      <c r="F9" s="21"/>
      <c r="G9" s="1"/>
      <c r="H9" s="1"/>
      <c r="I9" s="1"/>
      <c r="J9" s="1"/>
    </row>
    <row r="10" spans="1:16">
      <c r="A10" s="11">
        <v>9</v>
      </c>
      <c r="B10" s="28">
        <v>460.8</v>
      </c>
      <c r="C10" s="8">
        <v>0</v>
      </c>
      <c r="D10" s="28">
        <v>460.8</v>
      </c>
      <c r="E10" s="7">
        <v>2500</v>
      </c>
      <c r="F10" s="21"/>
      <c r="G10" s="1"/>
      <c r="H10" s="1"/>
      <c r="I10" s="1"/>
      <c r="J10" s="1"/>
      <c r="L10" s="1"/>
      <c r="M10" s="1"/>
      <c r="N10" s="1"/>
      <c r="O10" s="1"/>
    </row>
    <row r="11" spans="1:16">
      <c r="A11" s="11">
        <v>10</v>
      </c>
      <c r="B11" s="28">
        <v>518.4</v>
      </c>
      <c r="C11" s="8">
        <v>0</v>
      </c>
      <c r="D11" s="28">
        <v>518.4</v>
      </c>
      <c r="E11" s="7">
        <v>2500</v>
      </c>
      <c r="F11" s="21"/>
      <c r="G11" s="1"/>
      <c r="H11" s="1"/>
      <c r="I11" s="1"/>
      <c r="J11" s="1"/>
      <c r="L11" s="1"/>
      <c r="M11" s="1"/>
      <c r="N11" s="1"/>
      <c r="O11" s="1"/>
    </row>
    <row r="12" spans="1:16">
      <c r="A12" s="11">
        <v>11</v>
      </c>
      <c r="B12" s="28">
        <v>576</v>
      </c>
      <c r="C12" s="8">
        <v>0</v>
      </c>
      <c r="D12" s="28">
        <v>576</v>
      </c>
      <c r="E12" s="7">
        <v>2500</v>
      </c>
      <c r="F12" s="21"/>
      <c r="G12" s="1"/>
      <c r="H12" s="1"/>
      <c r="I12" s="1"/>
      <c r="J12" s="1"/>
      <c r="L12" s="1"/>
      <c r="M12" s="1"/>
      <c r="N12" s="1"/>
      <c r="O12" s="1"/>
    </row>
    <row r="13" spans="1:16">
      <c r="A13" s="11">
        <v>12</v>
      </c>
      <c r="B13" s="28">
        <v>633.6</v>
      </c>
      <c r="C13" s="8">
        <v>0</v>
      </c>
      <c r="D13" s="28">
        <v>633.6</v>
      </c>
      <c r="E13" s="7">
        <v>2500</v>
      </c>
      <c r="F13" s="21"/>
      <c r="G13" s="1"/>
      <c r="H13" s="1"/>
      <c r="I13" s="1"/>
      <c r="J13" s="31" t="s">
        <v>24</v>
      </c>
      <c r="K13" s="2" t="s">
        <v>25</v>
      </c>
      <c r="L13" s="1"/>
      <c r="M13" s="1"/>
      <c r="N13" s="1"/>
      <c r="O13" s="1"/>
    </row>
    <row r="14" spans="1:16">
      <c r="A14" s="11">
        <v>13</v>
      </c>
      <c r="B14" s="28">
        <v>691.2</v>
      </c>
      <c r="C14" s="8">
        <v>0</v>
      </c>
      <c r="D14" s="28">
        <v>691.2</v>
      </c>
      <c r="E14" s="7">
        <v>2500</v>
      </c>
      <c r="F14" s="21"/>
      <c r="G14" s="1"/>
      <c r="H14" s="1"/>
      <c r="I14" s="1"/>
      <c r="J14" s="1"/>
      <c r="K14" s="2" t="s">
        <v>26</v>
      </c>
      <c r="L14" s="1"/>
      <c r="M14" s="1"/>
      <c r="N14" s="1"/>
      <c r="O14" s="1"/>
    </row>
    <row r="15" spans="1:16">
      <c r="A15" s="11">
        <v>14</v>
      </c>
      <c r="B15" s="28">
        <v>748.8</v>
      </c>
      <c r="C15" s="8">
        <v>0</v>
      </c>
      <c r="D15" s="28">
        <v>748.8</v>
      </c>
      <c r="E15" s="7">
        <v>2500</v>
      </c>
      <c r="F15" s="21"/>
      <c r="G15" s="1"/>
      <c r="H15" s="1"/>
      <c r="I15" s="1"/>
      <c r="J15" s="10" t="s">
        <v>27</v>
      </c>
      <c r="K15" s="2"/>
      <c r="L15" s="10"/>
      <c r="M15" s="10"/>
      <c r="N15" s="10"/>
      <c r="O15" s="10"/>
      <c r="P15" s="2"/>
    </row>
    <row r="16" spans="1:16">
      <c r="A16" s="11">
        <v>15</v>
      </c>
      <c r="B16" s="28">
        <v>806.4</v>
      </c>
      <c r="C16" s="8">
        <v>0</v>
      </c>
      <c r="D16" s="28">
        <v>806.4</v>
      </c>
      <c r="E16" s="7">
        <v>2500</v>
      </c>
      <c r="F16" s="21"/>
      <c r="G16" s="1"/>
      <c r="H16" s="1"/>
      <c r="I16" s="1"/>
      <c r="J16" s="19"/>
      <c r="L16" s="19"/>
      <c r="M16" s="19"/>
      <c r="N16" s="19"/>
      <c r="O16" s="19"/>
    </row>
    <row r="17" spans="1:13">
      <c r="A17" s="11">
        <v>16</v>
      </c>
      <c r="B17" s="28">
        <v>864</v>
      </c>
      <c r="C17" s="8">
        <v>0</v>
      </c>
      <c r="D17" s="28">
        <v>864</v>
      </c>
      <c r="E17" s="7">
        <v>2500</v>
      </c>
      <c r="F17" s="21"/>
      <c r="G17" s="1"/>
      <c r="H17" s="1"/>
      <c r="I17" s="1"/>
      <c r="J17" s="19" t="s">
        <v>28</v>
      </c>
    </row>
    <row r="18" spans="1:13">
      <c r="A18" s="11">
        <v>17</v>
      </c>
      <c r="B18" s="28">
        <v>921.6</v>
      </c>
      <c r="C18" s="8">
        <v>0</v>
      </c>
      <c r="D18" s="28">
        <v>921.6</v>
      </c>
      <c r="E18" s="7">
        <v>2500</v>
      </c>
      <c r="F18" s="21"/>
      <c r="G18" s="1"/>
      <c r="H18" s="1"/>
      <c r="I18" s="1"/>
      <c r="J18" s="19"/>
    </row>
    <row r="19" spans="1:13">
      <c r="A19" s="11">
        <v>18</v>
      </c>
      <c r="B19" s="28">
        <v>979.2</v>
      </c>
      <c r="C19" s="8">
        <v>0</v>
      </c>
      <c r="D19" s="28">
        <v>979.2</v>
      </c>
      <c r="E19" s="7">
        <v>2500</v>
      </c>
      <c r="F19" s="21"/>
      <c r="G19" s="1"/>
      <c r="H19" s="1"/>
      <c r="I19" s="1"/>
      <c r="J19" s="19" t="s">
        <v>29</v>
      </c>
    </row>
    <row r="20" spans="1:13">
      <c r="A20" s="11">
        <v>19</v>
      </c>
      <c r="B20" s="28">
        <v>1036.8</v>
      </c>
      <c r="C20" s="8">
        <v>0</v>
      </c>
      <c r="D20" s="28">
        <v>1036.8</v>
      </c>
      <c r="E20" s="7">
        <v>2500</v>
      </c>
      <c r="F20" s="21"/>
      <c r="G20" s="1"/>
      <c r="H20" s="1"/>
      <c r="I20" s="1"/>
      <c r="J20" s="19"/>
    </row>
    <row r="21" spans="1:13">
      <c r="A21" s="11">
        <v>20</v>
      </c>
      <c r="B21" s="28">
        <v>1094.4000000000001</v>
      </c>
      <c r="C21" s="8">
        <v>0</v>
      </c>
      <c r="D21" s="28">
        <v>1094.4000000000001</v>
      </c>
      <c r="E21" s="7">
        <v>2500</v>
      </c>
      <c r="F21" s="21"/>
      <c r="G21" s="1"/>
      <c r="H21" s="1"/>
      <c r="I21" s="1"/>
      <c r="J21" s="19" t="s">
        <v>15</v>
      </c>
    </row>
    <row r="22" spans="1:13">
      <c r="A22" s="11">
        <v>21</v>
      </c>
      <c r="B22" s="28">
        <v>1152</v>
      </c>
      <c r="C22" s="8">
        <v>0</v>
      </c>
      <c r="D22" s="28">
        <v>1152</v>
      </c>
      <c r="E22" s="7">
        <v>2500</v>
      </c>
      <c r="F22" s="21"/>
      <c r="G22" s="1"/>
      <c r="H22" s="1"/>
      <c r="I22" s="1"/>
      <c r="J22" s="19"/>
    </row>
    <row r="23" spans="1:13">
      <c r="A23" s="11">
        <v>22</v>
      </c>
      <c r="B23" s="28">
        <v>1209.5999999999999</v>
      </c>
      <c r="C23" s="8">
        <v>0</v>
      </c>
      <c r="D23" s="28">
        <v>1209.5999999999999</v>
      </c>
      <c r="E23" s="7">
        <v>2500</v>
      </c>
      <c r="F23" s="21"/>
      <c r="G23" s="1"/>
      <c r="H23" s="1"/>
      <c r="I23" s="1"/>
      <c r="J23" s="19" t="s">
        <v>16</v>
      </c>
    </row>
    <row r="24" spans="1:13">
      <c r="A24" s="11">
        <v>23</v>
      </c>
      <c r="B24" s="28">
        <v>1267.2</v>
      </c>
      <c r="C24" s="8">
        <v>0</v>
      </c>
      <c r="D24" s="28">
        <v>1267.2</v>
      </c>
      <c r="E24" s="7">
        <v>2500</v>
      </c>
      <c r="F24" s="21"/>
      <c r="G24" s="1"/>
      <c r="H24" s="1"/>
      <c r="I24" s="1"/>
      <c r="J24" s="19"/>
    </row>
    <row r="25" spans="1:13">
      <c r="A25" s="11">
        <v>24</v>
      </c>
      <c r="B25" s="28">
        <v>1324.8</v>
      </c>
      <c r="C25" s="8">
        <v>0</v>
      </c>
      <c r="D25" s="28">
        <v>1324.8</v>
      </c>
      <c r="E25" s="7">
        <v>2500</v>
      </c>
      <c r="F25" s="21"/>
      <c r="G25" s="1"/>
      <c r="H25" s="1"/>
      <c r="I25" s="1"/>
      <c r="J25" s="19" t="s">
        <v>17</v>
      </c>
    </row>
    <row r="26" spans="1:13">
      <c r="A26" s="11">
        <v>25</v>
      </c>
      <c r="B26" s="28">
        <v>1382.4</v>
      </c>
      <c r="C26" s="8">
        <v>0</v>
      </c>
      <c r="D26" s="28">
        <v>1382.4</v>
      </c>
      <c r="E26" s="7">
        <v>2500</v>
      </c>
      <c r="F26" s="21"/>
      <c r="G26" s="1"/>
      <c r="H26" s="1"/>
      <c r="I26" s="1"/>
      <c r="J26" s="1"/>
    </row>
    <row r="27" spans="1:13">
      <c r="A27" s="11">
        <v>26</v>
      </c>
      <c r="B27" s="28">
        <v>1440</v>
      </c>
      <c r="C27" s="8">
        <v>0</v>
      </c>
      <c r="D27" s="28">
        <v>1440</v>
      </c>
      <c r="E27" s="7">
        <v>2500</v>
      </c>
      <c r="F27" s="21"/>
      <c r="G27" s="1"/>
      <c r="H27" s="1"/>
      <c r="I27" s="1"/>
    </row>
    <row r="28" spans="1:13">
      <c r="A28" s="11">
        <v>27</v>
      </c>
      <c r="B28" s="28">
        <v>1497.6</v>
      </c>
      <c r="C28" s="8">
        <v>0</v>
      </c>
      <c r="D28" s="28">
        <v>1497.6</v>
      </c>
      <c r="E28" s="7">
        <v>2500</v>
      </c>
      <c r="F28" s="21"/>
      <c r="G28" s="1"/>
      <c r="H28" s="1"/>
      <c r="I28" s="1"/>
    </row>
    <row r="29" spans="1:13">
      <c r="A29" s="11">
        <v>28</v>
      </c>
      <c r="B29" s="28">
        <v>1555.2</v>
      </c>
      <c r="C29" s="8">
        <v>0</v>
      </c>
      <c r="D29" s="28">
        <v>1555.2</v>
      </c>
      <c r="E29" s="7">
        <v>2500</v>
      </c>
      <c r="F29" s="21"/>
      <c r="G29" s="1"/>
      <c r="H29" s="1"/>
      <c r="I29" s="1"/>
    </row>
    <row r="30" spans="1:13">
      <c r="A30" s="11">
        <v>29</v>
      </c>
      <c r="B30" s="28">
        <v>1612.8</v>
      </c>
      <c r="C30" s="8">
        <v>0</v>
      </c>
      <c r="D30" s="28">
        <v>1612.8</v>
      </c>
      <c r="E30" s="7">
        <v>2500</v>
      </c>
      <c r="F30" s="21"/>
      <c r="G30" s="1"/>
      <c r="H30" s="1"/>
      <c r="I30" s="1"/>
      <c r="J30" s="1"/>
      <c r="K30" t="s">
        <v>18</v>
      </c>
      <c r="M30" t="s">
        <v>19</v>
      </c>
    </row>
    <row r="31" spans="1:13">
      <c r="A31" s="11">
        <v>30</v>
      </c>
      <c r="B31" s="28">
        <v>1670.4</v>
      </c>
      <c r="C31" s="8">
        <v>0</v>
      </c>
      <c r="D31" s="28">
        <v>1670.4</v>
      </c>
      <c r="E31" s="7">
        <v>2500</v>
      </c>
      <c r="F31" s="21"/>
      <c r="G31" s="1"/>
      <c r="H31" s="1"/>
      <c r="I31" s="1"/>
      <c r="J31" s="1"/>
      <c r="K31" t="s">
        <v>20</v>
      </c>
      <c r="L31" s="20"/>
      <c r="M31" t="s">
        <v>21</v>
      </c>
    </row>
    <row r="32" spans="1:13">
      <c r="A32" s="11">
        <v>31</v>
      </c>
      <c r="B32" s="28">
        <v>1728</v>
      </c>
      <c r="C32" s="8">
        <v>0</v>
      </c>
      <c r="D32" s="28">
        <v>1728</v>
      </c>
      <c r="E32" s="7">
        <v>2500</v>
      </c>
      <c r="F32" s="21"/>
      <c r="G32" s="1"/>
      <c r="H32" s="1"/>
      <c r="I32" s="1"/>
      <c r="J32" s="1"/>
      <c r="L32" s="20"/>
      <c r="M32" s="2" t="s">
        <v>30</v>
      </c>
    </row>
    <row r="33" spans="1:13">
      <c r="A33" s="11">
        <v>32</v>
      </c>
      <c r="B33" s="28">
        <v>1785.6</v>
      </c>
      <c r="C33" s="8">
        <v>0</v>
      </c>
      <c r="D33" s="28">
        <v>1785.6</v>
      </c>
      <c r="E33" s="7">
        <v>2500</v>
      </c>
      <c r="F33" s="21"/>
      <c r="G33" s="1"/>
      <c r="H33" s="1"/>
      <c r="I33" s="1"/>
      <c r="J33" s="1"/>
      <c r="L33" s="20"/>
      <c r="M33" s="2" t="s">
        <v>31</v>
      </c>
    </row>
    <row r="34" spans="1:13">
      <c r="A34" s="11">
        <v>33</v>
      </c>
      <c r="B34" s="28">
        <v>1843.2</v>
      </c>
      <c r="C34" s="8">
        <v>0</v>
      </c>
      <c r="D34" s="28">
        <v>1843.2</v>
      </c>
      <c r="E34" s="7">
        <v>2500</v>
      </c>
      <c r="F34" s="21"/>
      <c r="G34" s="1"/>
      <c r="H34" s="1"/>
      <c r="I34" s="1"/>
      <c r="J34" s="1"/>
    </row>
    <row r="35" spans="1:13">
      <c r="A35" s="11">
        <v>34</v>
      </c>
      <c r="B35" s="28">
        <v>1900.8</v>
      </c>
      <c r="C35" s="8">
        <v>0</v>
      </c>
      <c r="D35" s="28">
        <v>1900.8</v>
      </c>
      <c r="E35" s="7">
        <v>2500</v>
      </c>
      <c r="F35" s="21"/>
      <c r="G35" s="1"/>
      <c r="H35" s="1"/>
      <c r="I35" s="1"/>
    </row>
    <row r="36" spans="1:13">
      <c r="A36" s="11">
        <v>35</v>
      </c>
      <c r="B36" s="28">
        <v>1958.4</v>
      </c>
      <c r="C36" s="8">
        <v>0</v>
      </c>
      <c r="D36" s="28">
        <v>1958.4</v>
      </c>
      <c r="E36" s="7">
        <v>2500</v>
      </c>
      <c r="F36" s="21"/>
      <c r="G36" s="1"/>
      <c r="H36" s="1"/>
      <c r="I36" s="1"/>
    </row>
    <row r="37" spans="1:13">
      <c r="A37" s="11">
        <v>36</v>
      </c>
      <c r="B37" s="28">
        <v>2016</v>
      </c>
      <c r="C37" s="8">
        <v>0</v>
      </c>
      <c r="D37" s="28">
        <v>2016</v>
      </c>
      <c r="E37" s="7">
        <v>2500</v>
      </c>
      <c r="F37" s="21"/>
      <c r="G37" s="1"/>
      <c r="H37" s="1"/>
      <c r="I37" s="1"/>
    </row>
    <row r="38" spans="1:13">
      <c r="A38" s="11">
        <v>37</v>
      </c>
      <c r="B38" s="28">
        <v>2073.6</v>
      </c>
      <c r="C38" s="8">
        <v>0</v>
      </c>
      <c r="D38" s="28">
        <v>2073.6</v>
      </c>
      <c r="E38" s="7">
        <v>2500</v>
      </c>
      <c r="F38" s="21"/>
      <c r="G38" s="1"/>
      <c r="H38" s="1"/>
      <c r="I38" s="1"/>
      <c r="J38" s="1"/>
    </row>
    <row r="39" spans="1:13">
      <c r="A39" s="11">
        <v>38</v>
      </c>
      <c r="B39" s="28">
        <v>2131.1999999999998</v>
      </c>
      <c r="C39" s="8">
        <v>0</v>
      </c>
      <c r="D39" s="28">
        <v>2131.1999999999998</v>
      </c>
      <c r="E39" s="7">
        <v>2500</v>
      </c>
      <c r="F39" s="21"/>
      <c r="G39" s="1"/>
      <c r="H39" s="1"/>
      <c r="I39" s="1"/>
      <c r="J39" s="1"/>
    </row>
    <row r="40" spans="1:13">
      <c r="A40" s="11">
        <v>39</v>
      </c>
      <c r="B40" s="28">
        <v>2188.8000000000002</v>
      </c>
      <c r="C40" s="8">
        <v>0</v>
      </c>
      <c r="D40" s="28">
        <v>2188.8000000000002</v>
      </c>
      <c r="E40" s="7">
        <v>2500</v>
      </c>
      <c r="F40" s="21"/>
      <c r="G40" s="1"/>
      <c r="H40" s="1"/>
      <c r="I40" s="1"/>
      <c r="J40" s="1"/>
    </row>
    <row r="41" spans="1:13">
      <c r="A41" s="11">
        <v>40</v>
      </c>
      <c r="B41" s="28">
        <v>2246.4</v>
      </c>
      <c r="C41" s="8">
        <v>0</v>
      </c>
      <c r="D41" s="28">
        <v>2246.4</v>
      </c>
      <c r="E41" s="7">
        <v>2500</v>
      </c>
      <c r="F41" s="21"/>
      <c r="G41" s="1"/>
      <c r="H41" s="1"/>
      <c r="I41" s="1"/>
      <c r="J41" s="1"/>
    </row>
    <row r="42" spans="1:13">
      <c r="A42" s="11">
        <v>41</v>
      </c>
      <c r="B42" s="28">
        <v>2304</v>
      </c>
      <c r="C42" s="8">
        <v>0</v>
      </c>
      <c r="D42" s="28">
        <v>2304</v>
      </c>
      <c r="E42" s="7">
        <v>2500</v>
      </c>
      <c r="F42" s="21"/>
      <c r="G42" s="1"/>
      <c r="H42" s="1"/>
      <c r="I42" s="1"/>
      <c r="J42" s="1"/>
    </row>
    <row r="43" spans="1:13">
      <c r="A43" s="11">
        <v>42</v>
      </c>
      <c r="B43" s="28">
        <v>2361.6</v>
      </c>
      <c r="C43" s="8">
        <v>0</v>
      </c>
      <c r="D43" s="28">
        <v>2361.6</v>
      </c>
      <c r="E43" s="7">
        <v>2500</v>
      </c>
      <c r="F43" s="21"/>
      <c r="G43" s="1"/>
      <c r="H43" s="1"/>
      <c r="I43" s="1"/>
      <c r="J43" s="1"/>
    </row>
    <row r="44" spans="1:13">
      <c r="A44" s="11">
        <v>43</v>
      </c>
      <c r="B44" s="28">
        <v>2419.1999999999998</v>
      </c>
      <c r="C44" s="8">
        <v>0</v>
      </c>
      <c r="D44" s="28">
        <v>2419.1999999999998</v>
      </c>
      <c r="E44" s="7">
        <v>2500</v>
      </c>
      <c r="F44" s="21"/>
      <c r="G44" s="1"/>
      <c r="H44" s="1"/>
      <c r="I44" s="1"/>
      <c r="J44" s="1"/>
    </row>
    <row r="45" spans="1:13">
      <c r="A45" s="11">
        <v>44</v>
      </c>
      <c r="B45" s="28">
        <v>2476.8000000000002</v>
      </c>
      <c r="C45" s="8">
        <v>0</v>
      </c>
      <c r="D45" s="28">
        <v>2476.8000000000002</v>
      </c>
      <c r="E45" s="7">
        <v>2500</v>
      </c>
      <c r="F45" s="21"/>
      <c r="G45" s="1"/>
      <c r="H45" s="1"/>
      <c r="I45" s="1"/>
      <c r="J45" s="1"/>
    </row>
    <row r="46" spans="1:13">
      <c r="A46" s="11">
        <v>45</v>
      </c>
      <c r="B46" s="28">
        <v>2534.4</v>
      </c>
      <c r="C46" s="8">
        <v>0</v>
      </c>
      <c r="D46" s="28">
        <v>2534.4</v>
      </c>
      <c r="E46" s="7">
        <v>2500</v>
      </c>
      <c r="F46" s="21"/>
      <c r="G46" s="1"/>
      <c r="H46" s="1"/>
      <c r="I46" s="1"/>
      <c r="J46" s="1"/>
    </row>
    <row r="47" spans="1:13">
      <c r="A47" s="11">
        <v>46</v>
      </c>
      <c r="B47" s="28">
        <v>2592</v>
      </c>
      <c r="C47" s="8">
        <v>0</v>
      </c>
      <c r="D47" s="28">
        <v>2592</v>
      </c>
      <c r="E47" s="7">
        <v>2500</v>
      </c>
      <c r="F47" s="21"/>
      <c r="G47" s="1"/>
      <c r="H47" s="1"/>
      <c r="I47" s="1"/>
      <c r="J47" s="1"/>
    </row>
    <row r="48" spans="1:13">
      <c r="A48" s="11">
        <v>47</v>
      </c>
      <c r="B48" s="28">
        <v>2649.6</v>
      </c>
      <c r="C48" s="8">
        <v>0</v>
      </c>
      <c r="D48" s="28">
        <v>2649.6</v>
      </c>
      <c r="E48" s="7">
        <v>2500</v>
      </c>
      <c r="F48" s="21"/>
      <c r="G48" s="1"/>
      <c r="H48" s="1"/>
      <c r="I48" s="1"/>
      <c r="J48" s="1"/>
    </row>
    <row r="49" spans="1:10">
      <c r="A49" s="11">
        <v>48</v>
      </c>
      <c r="B49" s="28">
        <v>2707.2</v>
      </c>
      <c r="C49" s="8">
        <v>0</v>
      </c>
      <c r="D49" s="28">
        <v>2707.2</v>
      </c>
      <c r="E49" s="7">
        <v>2500</v>
      </c>
      <c r="F49" s="21"/>
      <c r="G49" s="1"/>
      <c r="H49" s="1"/>
      <c r="I49" s="1"/>
      <c r="J49" s="1"/>
    </row>
    <row r="50" spans="1:10">
      <c r="A50" s="11">
        <v>49</v>
      </c>
      <c r="B50" s="28">
        <v>2764.8</v>
      </c>
      <c r="C50" s="8">
        <v>0</v>
      </c>
      <c r="D50" s="28">
        <v>2764.8</v>
      </c>
      <c r="E50" s="7">
        <v>2500</v>
      </c>
      <c r="F50" s="21"/>
      <c r="G50" s="1"/>
      <c r="H50" s="1"/>
      <c r="I50" s="1"/>
      <c r="J50" s="1"/>
    </row>
    <row r="51" spans="1:10">
      <c r="A51" s="11">
        <v>50</v>
      </c>
      <c r="B51" s="28">
        <v>2822.4</v>
      </c>
      <c r="C51" s="8">
        <v>0</v>
      </c>
      <c r="D51" s="28">
        <v>2822.4</v>
      </c>
      <c r="E51" s="7">
        <v>2500</v>
      </c>
      <c r="F51" s="21"/>
      <c r="G51" s="1"/>
      <c r="H51" s="1"/>
      <c r="I51" s="1"/>
      <c r="J51" s="1"/>
    </row>
    <row r="52" spans="1:10">
      <c r="A52" s="11">
        <v>51</v>
      </c>
      <c r="B52" s="28">
        <v>2880</v>
      </c>
      <c r="C52" s="8">
        <v>0</v>
      </c>
      <c r="D52" s="28">
        <v>2880</v>
      </c>
      <c r="E52" s="7">
        <v>2500</v>
      </c>
      <c r="F52" s="21"/>
      <c r="G52" s="1"/>
      <c r="H52" s="1"/>
      <c r="I52" s="1"/>
      <c r="J52" s="1"/>
    </row>
    <row r="53" spans="1:10">
      <c r="A53" s="11">
        <v>52</v>
      </c>
      <c r="B53" s="28">
        <v>2937.6</v>
      </c>
      <c r="C53" s="8">
        <v>0</v>
      </c>
      <c r="D53" s="28">
        <v>2937.6</v>
      </c>
      <c r="E53" s="7">
        <v>2500</v>
      </c>
      <c r="F53" s="21"/>
      <c r="G53" s="1"/>
      <c r="H53" s="1"/>
      <c r="I53" s="1"/>
      <c r="J53" s="1"/>
    </row>
    <row r="54" spans="1:10">
      <c r="A54" s="11">
        <v>53</v>
      </c>
      <c r="B54" s="28">
        <v>2995.2</v>
      </c>
      <c r="C54" s="8">
        <v>0</v>
      </c>
      <c r="D54" s="28">
        <v>2995.2</v>
      </c>
      <c r="E54" s="7">
        <v>2500</v>
      </c>
      <c r="F54" s="21"/>
      <c r="G54" s="1"/>
      <c r="H54" s="1"/>
      <c r="I54" s="1"/>
      <c r="J54" s="1"/>
    </row>
    <row r="55" spans="1:10">
      <c r="A55" s="11">
        <v>54</v>
      </c>
      <c r="B55" s="28">
        <v>3052.8</v>
      </c>
      <c r="C55" s="8">
        <v>0</v>
      </c>
      <c r="D55" s="28">
        <v>3052.8</v>
      </c>
      <c r="E55" s="7">
        <v>2500</v>
      </c>
      <c r="F55" s="21"/>
      <c r="G55" s="1"/>
      <c r="H55" s="1"/>
      <c r="I55" s="1"/>
      <c r="J55" s="1"/>
    </row>
    <row r="56" spans="1:10">
      <c r="A56" s="11">
        <v>55</v>
      </c>
      <c r="B56" s="28">
        <v>3110.4</v>
      </c>
      <c r="C56" s="8">
        <v>0</v>
      </c>
      <c r="D56" s="28">
        <v>3110.4</v>
      </c>
      <c r="E56" s="7">
        <v>2500</v>
      </c>
      <c r="F56" s="21"/>
      <c r="G56" s="1"/>
      <c r="H56" s="1"/>
      <c r="I56" s="1"/>
      <c r="J56" s="1"/>
    </row>
    <row r="57" spans="1:10">
      <c r="A57" s="11">
        <v>56</v>
      </c>
      <c r="B57" s="28">
        <v>3168</v>
      </c>
      <c r="C57" s="8">
        <v>0</v>
      </c>
      <c r="D57" s="28">
        <v>3168</v>
      </c>
      <c r="E57" s="7">
        <v>2500</v>
      </c>
      <c r="F57" s="21"/>
      <c r="G57" s="1"/>
      <c r="H57" s="1"/>
      <c r="I57" s="1"/>
      <c r="J57" s="1"/>
    </row>
    <row r="58" spans="1:10">
      <c r="A58" s="11">
        <v>57</v>
      </c>
      <c r="B58" s="28">
        <v>3225.6</v>
      </c>
      <c r="C58" s="8">
        <v>0</v>
      </c>
      <c r="D58" s="28">
        <v>3225.6</v>
      </c>
      <c r="E58" s="7">
        <v>2500</v>
      </c>
      <c r="F58" s="21"/>
      <c r="G58" s="1"/>
      <c r="H58" s="1"/>
      <c r="I58" s="1"/>
      <c r="J58" s="1"/>
    </row>
    <row r="59" spans="1:10">
      <c r="A59" s="11">
        <v>58</v>
      </c>
      <c r="B59" s="28">
        <v>3283.2</v>
      </c>
      <c r="C59" s="8">
        <v>0</v>
      </c>
      <c r="D59" s="28">
        <v>3283.2</v>
      </c>
      <c r="E59" s="7">
        <v>2500</v>
      </c>
      <c r="F59" s="21"/>
      <c r="G59" s="1"/>
      <c r="H59" s="1"/>
      <c r="I59" s="1"/>
      <c r="J59" s="1"/>
    </row>
    <row r="60" spans="1:10">
      <c r="A60" s="11">
        <v>59</v>
      </c>
      <c r="B60" s="28">
        <v>3340.8</v>
      </c>
      <c r="C60" s="8">
        <v>0</v>
      </c>
      <c r="D60" s="28">
        <v>3340.8</v>
      </c>
      <c r="E60" s="7">
        <v>2500</v>
      </c>
      <c r="F60" s="21"/>
      <c r="G60" s="1"/>
      <c r="H60" s="1"/>
      <c r="I60" s="1"/>
      <c r="J60" s="1"/>
    </row>
    <row r="61" spans="1:10">
      <c r="A61" s="11">
        <v>60</v>
      </c>
      <c r="B61" s="28">
        <v>3398.4</v>
      </c>
      <c r="C61" s="8">
        <v>0</v>
      </c>
      <c r="D61" s="28">
        <v>3398.4</v>
      </c>
      <c r="E61" s="7">
        <v>2500</v>
      </c>
      <c r="F61" s="21"/>
      <c r="G61" s="1"/>
      <c r="H61" s="1"/>
      <c r="I61" s="1"/>
      <c r="J61" s="1"/>
    </row>
    <row r="62" spans="1:10">
      <c r="A62" s="11">
        <v>61</v>
      </c>
      <c r="B62" s="28">
        <v>3456</v>
      </c>
      <c r="C62" s="8">
        <v>0</v>
      </c>
      <c r="D62" s="28">
        <v>3456</v>
      </c>
      <c r="E62" s="7">
        <v>2500</v>
      </c>
      <c r="F62" s="21"/>
      <c r="G62" s="1"/>
      <c r="H62" s="1"/>
      <c r="I62" s="1"/>
      <c r="J62" s="1"/>
    </row>
    <row r="63" spans="1:10">
      <c r="A63" s="11">
        <v>62</v>
      </c>
      <c r="B63" s="28">
        <v>3513.6</v>
      </c>
      <c r="C63" s="8">
        <v>0</v>
      </c>
      <c r="D63" s="28">
        <v>3513.6</v>
      </c>
      <c r="E63" s="7">
        <v>2500</v>
      </c>
      <c r="F63" s="21"/>
      <c r="G63" s="1"/>
      <c r="H63" s="1"/>
      <c r="I63" s="1"/>
      <c r="J63" s="1"/>
    </row>
    <row r="64" spans="1:10">
      <c r="A64" s="11">
        <v>63</v>
      </c>
      <c r="B64" s="28">
        <v>3571.2</v>
      </c>
      <c r="C64" s="8">
        <v>0</v>
      </c>
      <c r="D64" s="28">
        <v>3571.2</v>
      </c>
      <c r="E64" s="7">
        <v>2500</v>
      </c>
      <c r="F64" s="21"/>
      <c r="G64" s="1"/>
      <c r="H64" s="1"/>
      <c r="I64" s="1"/>
      <c r="J64" s="1"/>
    </row>
    <row r="65" spans="1:10">
      <c r="A65" s="11">
        <v>64</v>
      </c>
      <c r="B65" s="28">
        <v>3628.8</v>
      </c>
      <c r="C65" s="8">
        <v>0</v>
      </c>
      <c r="D65" s="28">
        <v>3628.8</v>
      </c>
      <c r="E65" s="7">
        <v>2500</v>
      </c>
      <c r="F65" s="21"/>
      <c r="G65" s="1"/>
      <c r="H65" s="1"/>
      <c r="I65" s="1"/>
      <c r="J65" s="1"/>
    </row>
    <row r="66" spans="1:10">
      <c r="A66" s="11">
        <v>65</v>
      </c>
      <c r="B66" s="28">
        <v>3686.4</v>
      </c>
      <c r="C66" s="8">
        <v>0</v>
      </c>
      <c r="D66" s="28">
        <v>3686.4</v>
      </c>
      <c r="E66" s="7">
        <v>2500</v>
      </c>
      <c r="F66" s="21"/>
      <c r="G66" s="1"/>
      <c r="H66" s="1"/>
      <c r="I66" s="1"/>
      <c r="J66" s="1"/>
    </row>
    <row r="67" spans="1:10">
      <c r="A67" s="11">
        <v>66</v>
      </c>
      <c r="B67" s="28">
        <v>3744</v>
      </c>
      <c r="C67" s="8">
        <v>0</v>
      </c>
      <c r="D67" s="28">
        <v>3744</v>
      </c>
      <c r="E67" s="7">
        <v>2500</v>
      </c>
      <c r="F67" s="21"/>
      <c r="G67" s="1"/>
      <c r="H67" s="1"/>
      <c r="I67" s="1"/>
      <c r="J67" s="1"/>
    </row>
    <row r="68" spans="1:10">
      <c r="A68" s="11">
        <v>67</v>
      </c>
      <c r="B68" s="28">
        <v>3801.6</v>
      </c>
      <c r="C68" s="8">
        <v>0</v>
      </c>
      <c r="D68" s="28">
        <v>3801.6</v>
      </c>
      <c r="E68" s="7">
        <v>2500</v>
      </c>
      <c r="F68" s="21"/>
      <c r="G68" s="1"/>
      <c r="H68" s="1"/>
      <c r="I68" s="1"/>
      <c r="J68" s="1"/>
    </row>
    <row r="69" spans="1:10">
      <c r="A69" s="11">
        <v>68</v>
      </c>
      <c r="B69" s="28">
        <v>3859.2</v>
      </c>
      <c r="C69" s="8">
        <v>0</v>
      </c>
      <c r="D69" s="28">
        <v>3859.2</v>
      </c>
      <c r="E69" s="7">
        <v>2500</v>
      </c>
      <c r="F69" s="21"/>
      <c r="G69" s="1"/>
      <c r="H69" s="1"/>
      <c r="I69" s="1"/>
      <c r="J69" s="1"/>
    </row>
    <row r="70" spans="1:10">
      <c r="A70" s="11">
        <v>69</v>
      </c>
      <c r="B70" s="28">
        <v>3916.8</v>
      </c>
      <c r="C70" s="8">
        <v>0</v>
      </c>
      <c r="D70" s="28">
        <v>3916.8</v>
      </c>
      <c r="E70" s="7">
        <v>2500</v>
      </c>
      <c r="F70" s="21"/>
      <c r="G70" s="1"/>
      <c r="H70" s="1"/>
      <c r="I70" s="1"/>
      <c r="J70" s="1"/>
    </row>
    <row r="71" spans="1:10" ht="15.75" thickBot="1">
      <c r="A71" s="11">
        <v>70</v>
      </c>
      <c r="B71" s="29">
        <v>3974.4</v>
      </c>
      <c r="C71" s="9">
        <v>0</v>
      </c>
      <c r="D71" s="29">
        <v>3974.4</v>
      </c>
      <c r="E71" s="7">
        <v>2500</v>
      </c>
      <c r="F71" s="21"/>
      <c r="G71" s="1"/>
      <c r="H71" s="1"/>
      <c r="I71" s="1"/>
      <c r="J71" s="1"/>
    </row>
    <row r="72" spans="1:10">
      <c r="A72" s="11">
        <v>71</v>
      </c>
      <c r="B72" s="27">
        <v>0</v>
      </c>
      <c r="C72" s="7">
        <v>2500</v>
      </c>
      <c r="D72" s="27">
        <v>0</v>
      </c>
      <c r="E72" s="7">
        <v>5000</v>
      </c>
      <c r="J72" s="1"/>
    </row>
    <row r="73" spans="1:10">
      <c r="A73" s="11">
        <v>72</v>
      </c>
      <c r="B73" s="28">
        <v>57.6</v>
      </c>
      <c r="C73" s="7">
        <v>2500</v>
      </c>
      <c r="D73" s="28">
        <v>57.6</v>
      </c>
      <c r="E73" s="7">
        <v>5000</v>
      </c>
    </row>
    <row r="74" spans="1:10">
      <c r="A74" s="11">
        <v>73</v>
      </c>
      <c r="B74" s="28">
        <v>115.2</v>
      </c>
      <c r="C74" s="7">
        <v>2500</v>
      </c>
      <c r="D74" s="28">
        <v>115.2</v>
      </c>
      <c r="E74" s="7">
        <v>5000</v>
      </c>
    </row>
    <row r="75" spans="1:10">
      <c r="A75" s="11">
        <v>74</v>
      </c>
      <c r="B75" s="28">
        <v>172.8</v>
      </c>
      <c r="C75" s="7">
        <v>2500</v>
      </c>
      <c r="D75" s="28">
        <v>172.8</v>
      </c>
      <c r="E75" s="7">
        <v>5000</v>
      </c>
    </row>
    <row r="76" spans="1:10">
      <c r="A76" s="11">
        <v>75</v>
      </c>
      <c r="B76" s="28">
        <v>230.4</v>
      </c>
      <c r="C76" s="7">
        <v>2500</v>
      </c>
      <c r="D76" s="28">
        <v>230.4</v>
      </c>
      <c r="E76" s="7">
        <v>5000</v>
      </c>
    </row>
    <row r="77" spans="1:10">
      <c r="A77" s="11">
        <v>76</v>
      </c>
      <c r="B77" s="28">
        <v>288</v>
      </c>
      <c r="C77" s="7">
        <v>2500</v>
      </c>
      <c r="D77" s="28">
        <v>288</v>
      </c>
      <c r="E77" s="7">
        <v>5000</v>
      </c>
    </row>
    <row r="78" spans="1:10">
      <c r="A78" s="11">
        <v>77</v>
      </c>
      <c r="B78" s="28">
        <v>345.6</v>
      </c>
      <c r="C78" s="7">
        <v>2500</v>
      </c>
      <c r="D78" s="28">
        <v>345.6</v>
      </c>
      <c r="E78" s="7">
        <v>5000</v>
      </c>
    </row>
    <row r="79" spans="1:10">
      <c r="A79" s="11">
        <v>78</v>
      </c>
      <c r="B79" s="28">
        <v>403.2</v>
      </c>
      <c r="C79" s="7">
        <v>2500</v>
      </c>
      <c r="D79" s="28">
        <v>403.2</v>
      </c>
      <c r="E79" s="7">
        <v>5000</v>
      </c>
    </row>
    <row r="80" spans="1:10">
      <c r="A80" s="11">
        <v>79</v>
      </c>
      <c r="B80" s="28">
        <v>460.8</v>
      </c>
      <c r="C80" s="7">
        <v>2500</v>
      </c>
      <c r="D80" s="28">
        <v>460.8</v>
      </c>
      <c r="E80" s="7">
        <v>5000</v>
      </c>
    </row>
    <row r="81" spans="1:5">
      <c r="A81" s="11">
        <v>80</v>
      </c>
      <c r="B81" s="28">
        <v>518.4</v>
      </c>
      <c r="C81" s="7">
        <v>2500</v>
      </c>
      <c r="D81" s="28">
        <v>518.4</v>
      </c>
      <c r="E81" s="7">
        <v>5000</v>
      </c>
    </row>
    <row r="82" spans="1:5">
      <c r="A82" s="11">
        <v>81</v>
      </c>
      <c r="B82" s="28">
        <v>576</v>
      </c>
      <c r="C82" s="7">
        <v>2500</v>
      </c>
      <c r="D82" s="28">
        <v>576</v>
      </c>
      <c r="E82" s="7">
        <v>5000</v>
      </c>
    </row>
    <row r="83" spans="1:5">
      <c r="A83" s="11">
        <v>82</v>
      </c>
      <c r="B83" s="28">
        <v>633.6</v>
      </c>
      <c r="C83" s="7">
        <v>2500</v>
      </c>
      <c r="D83" s="28">
        <v>633.6</v>
      </c>
      <c r="E83" s="7">
        <v>5000</v>
      </c>
    </row>
    <row r="84" spans="1:5">
      <c r="A84" s="11">
        <v>83</v>
      </c>
      <c r="B84" s="28">
        <v>691.2</v>
      </c>
      <c r="C84" s="7">
        <v>2500</v>
      </c>
      <c r="D84" s="28">
        <v>691.2</v>
      </c>
      <c r="E84" s="7">
        <v>5000</v>
      </c>
    </row>
    <row r="85" spans="1:5">
      <c r="A85" s="11">
        <v>84</v>
      </c>
      <c r="B85" s="28">
        <v>748.8</v>
      </c>
      <c r="C85" s="7">
        <v>2500</v>
      </c>
      <c r="D85" s="28">
        <v>748.8</v>
      </c>
      <c r="E85" s="7">
        <v>5000</v>
      </c>
    </row>
    <row r="86" spans="1:5">
      <c r="A86" s="11">
        <v>85</v>
      </c>
      <c r="B86" s="28">
        <v>806.4</v>
      </c>
      <c r="C86" s="7">
        <v>2500</v>
      </c>
      <c r="D86" s="28">
        <v>806.4</v>
      </c>
      <c r="E86" s="7">
        <v>5000</v>
      </c>
    </row>
    <row r="87" spans="1:5">
      <c r="A87" s="11">
        <v>86</v>
      </c>
      <c r="B87" s="28">
        <v>864</v>
      </c>
      <c r="C87" s="7">
        <v>2500</v>
      </c>
      <c r="D87" s="28">
        <v>864</v>
      </c>
      <c r="E87" s="7">
        <v>5000</v>
      </c>
    </row>
    <row r="88" spans="1:5">
      <c r="A88" s="11">
        <v>87</v>
      </c>
      <c r="B88" s="28">
        <v>921.6</v>
      </c>
      <c r="C88" s="7">
        <v>2500</v>
      </c>
      <c r="D88" s="28">
        <v>921.6</v>
      </c>
      <c r="E88" s="7">
        <v>5000</v>
      </c>
    </row>
    <row r="89" spans="1:5">
      <c r="A89" s="11">
        <v>88</v>
      </c>
      <c r="B89" s="28">
        <v>979.2</v>
      </c>
      <c r="C89" s="7">
        <v>2500</v>
      </c>
      <c r="D89" s="28">
        <v>979.2</v>
      </c>
      <c r="E89" s="7">
        <v>5000</v>
      </c>
    </row>
    <row r="90" spans="1:5">
      <c r="A90" s="11">
        <v>89</v>
      </c>
      <c r="B90" s="28">
        <v>1036.8</v>
      </c>
      <c r="C90" s="7">
        <v>2500</v>
      </c>
      <c r="D90" s="28">
        <v>1036.8</v>
      </c>
      <c r="E90" s="7">
        <v>5000</v>
      </c>
    </row>
    <row r="91" spans="1:5">
      <c r="A91" s="11">
        <v>90</v>
      </c>
      <c r="B91" s="28">
        <v>1094.4000000000001</v>
      </c>
      <c r="C91" s="7">
        <v>2500</v>
      </c>
      <c r="D91" s="28">
        <v>1094.4000000000001</v>
      </c>
      <c r="E91" s="7">
        <v>5000</v>
      </c>
    </row>
    <row r="92" spans="1:5">
      <c r="A92" s="11">
        <v>91</v>
      </c>
      <c r="B92" s="28">
        <v>1152</v>
      </c>
      <c r="C92" s="7">
        <v>2500</v>
      </c>
      <c r="D92" s="28">
        <v>1152</v>
      </c>
      <c r="E92" s="7">
        <v>5000</v>
      </c>
    </row>
    <row r="93" spans="1:5">
      <c r="A93" s="11">
        <v>92</v>
      </c>
      <c r="B93" s="28">
        <v>1209.5999999999999</v>
      </c>
      <c r="C93" s="7">
        <v>2500</v>
      </c>
      <c r="D93" s="28">
        <v>1209.5999999999999</v>
      </c>
      <c r="E93" s="7">
        <v>5000</v>
      </c>
    </row>
    <row r="94" spans="1:5">
      <c r="A94" s="11">
        <v>93</v>
      </c>
      <c r="B94" s="28">
        <v>1267.2</v>
      </c>
      <c r="C94" s="7">
        <v>2500</v>
      </c>
      <c r="D94" s="28">
        <v>1267.2</v>
      </c>
      <c r="E94" s="7">
        <v>5000</v>
      </c>
    </row>
    <row r="95" spans="1:5">
      <c r="A95" s="11">
        <v>94</v>
      </c>
      <c r="B95" s="28">
        <v>1324.8</v>
      </c>
      <c r="C95" s="7">
        <v>2500</v>
      </c>
      <c r="D95" s="28">
        <v>1324.8</v>
      </c>
      <c r="E95" s="7">
        <v>5000</v>
      </c>
    </row>
    <row r="96" spans="1:5">
      <c r="A96" s="11">
        <v>95</v>
      </c>
      <c r="B96" s="28">
        <v>1382.4</v>
      </c>
      <c r="C96" s="7">
        <v>2500</v>
      </c>
      <c r="D96" s="28">
        <v>1382.4</v>
      </c>
      <c r="E96" s="7">
        <v>5000</v>
      </c>
    </row>
    <row r="97" spans="1:5">
      <c r="A97" s="11">
        <v>96</v>
      </c>
      <c r="B97" s="28">
        <v>1440</v>
      </c>
      <c r="C97" s="7">
        <v>2500</v>
      </c>
      <c r="D97" s="28">
        <v>1440</v>
      </c>
      <c r="E97" s="7">
        <v>5000</v>
      </c>
    </row>
    <row r="98" spans="1:5">
      <c r="A98" s="11">
        <v>97</v>
      </c>
      <c r="B98" s="28">
        <v>1497.6</v>
      </c>
      <c r="C98" s="7">
        <v>2500</v>
      </c>
      <c r="D98" s="28">
        <v>1497.6</v>
      </c>
      <c r="E98" s="7">
        <v>5000</v>
      </c>
    </row>
    <row r="99" spans="1:5">
      <c r="A99" s="11">
        <v>98</v>
      </c>
      <c r="B99" s="28">
        <v>1555.2</v>
      </c>
      <c r="C99" s="7">
        <v>2500</v>
      </c>
      <c r="D99" s="28">
        <v>1555.2</v>
      </c>
      <c r="E99" s="7">
        <v>5000</v>
      </c>
    </row>
    <row r="100" spans="1:5">
      <c r="A100" s="11">
        <v>99</v>
      </c>
      <c r="B100" s="28">
        <v>1612.8</v>
      </c>
      <c r="C100" s="7">
        <v>2500</v>
      </c>
      <c r="D100" s="28">
        <v>1612.8</v>
      </c>
      <c r="E100" s="7">
        <v>5000</v>
      </c>
    </row>
    <row r="101" spans="1:5">
      <c r="A101" s="11">
        <v>100</v>
      </c>
      <c r="B101" s="28">
        <v>1670.4</v>
      </c>
      <c r="C101" s="7">
        <v>2500</v>
      </c>
      <c r="D101" s="28">
        <v>1670.4</v>
      </c>
      <c r="E101" s="7">
        <v>5000</v>
      </c>
    </row>
    <row r="102" spans="1:5">
      <c r="A102" s="11">
        <v>101</v>
      </c>
      <c r="B102" s="28">
        <v>1728</v>
      </c>
      <c r="C102" s="7">
        <v>2500</v>
      </c>
      <c r="D102" s="28">
        <v>1728</v>
      </c>
      <c r="E102" s="7">
        <v>5000</v>
      </c>
    </row>
    <row r="103" spans="1:5">
      <c r="A103" s="11">
        <v>102</v>
      </c>
      <c r="B103" s="28">
        <v>1785.6</v>
      </c>
      <c r="C103" s="7">
        <v>2500</v>
      </c>
      <c r="D103" s="28">
        <v>1785.6</v>
      </c>
      <c r="E103" s="7">
        <v>5000</v>
      </c>
    </row>
    <row r="104" spans="1:5">
      <c r="A104" s="11">
        <v>103</v>
      </c>
      <c r="B104" s="28">
        <v>1843.2</v>
      </c>
      <c r="C104" s="7">
        <v>2500</v>
      </c>
      <c r="D104" s="28">
        <v>1843.2</v>
      </c>
      <c r="E104" s="7">
        <v>5000</v>
      </c>
    </row>
    <row r="105" spans="1:5">
      <c r="A105" s="11">
        <v>104</v>
      </c>
      <c r="B105" s="28">
        <v>1900.8</v>
      </c>
      <c r="C105" s="7">
        <v>2500</v>
      </c>
      <c r="D105" s="28">
        <v>1900.8</v>
      </c>
      <c r="E105" s="7">
        <v>5000</v>
      </c>
    </row>
    <row r="106" spans="1:5">
      <c r="A106" s="11">
        <v>105</v>
      </c>
      <c r="B106" s="28">
        <v>1958.4</v>
      </c>
      <c r="C106" s="7">
        <v>2500</v>
      </c>
      <c r="D106" s="28">
        <v>1958.4</v>
      </c>
      <c r="E106" s="7">
        <v>5000</v>
      </c>
    </row>
    <row r="107" spans="1:5">
      <c r="A107" s="11">
        <v>106</v>
      </c>
      <c r="B107" s="28">
        <v>2016</v>
      </c>
      <c r="C107" s="7">
        <v>2500</v>
      </c>
      <c r="D107" s="28">
        <v>2016</v>
      </c>
      <c r="E107" s="7">
        <v>5000</v>
      </c>
    </row>
    <row r="108" spans="1:5">
      <c r="A108" s="11">
        <v>107</v>
      </c>
      <c r="B108" s="28">
        <v>2073.6</v>
      </c>
      <c r="C108" s="7">
        <v>2500</v>
      </c>
      <c r="D108" s="28">
        <v>2073.6</v>
      </c>
      <c r="E108" s="7">
        <v>5000</v>
      </c>
    </row>
    <row r="109" spans="1:5">
      <c r="A109" s="11">
        <v>108</v>
      </c>
      <c r="B109" s="28">
        <v>2131.1999999999998</v>
      </c>
      <c r="C109" s="7">
        <v>2500</v>
      </c>
      <c r="D109" s="28">
        <v>2131.1999999999998</v>
      </c>
      <c r="E109" s="7">
        <v>5000</v>
      </c>
    </row>
    <row r="110" spans="1:5">
      <c r="A110" s="11">
        <v>109</v>
      </c>
      <c r="B110" s="28">
        <v>2188.8000000000002</v>
      </c>
      <c r="C110" s="7">
        <v>2500</v>
      </c>
      <c r="D110" s="28">
        <v>2188.8000000000002</v>
      </c>
      <c r="E110" s="7">
        <v>5000</v>
      </c>
    </row>
    <row r="111" spans="1:5">
      <c r="A111" s="11">
        <v>110</v>
      </c>
      <c r="B111" s="28">
        <v>2246.4</v>
      </c>
      <c r="C111" s="7">
        <v>2500</v>
      </c>
      <c r="D111" s="28">
        <v>2246.4</v>
      </c>
      <c r="E111" s="7">
        <v>5000</v>
      </c>
    </row>
    <row r="112" spans="1:5">
      <c r="A112" s="11">
        <v>111</v>
      </c>
      <c r="B112" s="28">
        <v>2304</v>
      </c>
      <c r="C112" s="7">
        <v>2500</v>
      </c>
      <c r="D112" s="28">
        <v>2304</v>
      </c>
      <c r="E112" s="7">
        <v>5000</v>
      </c>
    </row>
    <row r="113" spans="1:5">
      <c r="A113" s="11">
        <v>112</v>
      </c>
      <c r="B113" s="28">
        <v>2361.6</v>
      </c>
      <c r="C113" s="7">
        <v>2500</v>
      </c>
      <c r="D113" s="28">
        <v>2361.6</v>
      </c>
      <c r="E113" s="7">
        <v>5000</v>
      </c>
    </row>
    <row r="114" spans="1:5">
      <c r="A114" s="11">
        <v>113</v>
      </c>
      <c r="B114" s="28">
        <v>2419.1999999999998</v>
      </c>
      <c r="C114" s="7">
        <v>2500</v>
      </c>
      <c r="D114" s="28">
        <v>2419.1999999999998</v>
      </c>
      <c r="E114" s="7">
        <v>5000</v>
      </c>
    </row>
    <row r="115" spans="1:5">
      <c r="A115" s="11">
        <v>114</v>
      </c>
      <c r="B115" s="28">
        <v>2476.8000000000002</v>
      </c>
      <c r="C115" s="7">
        <v>2500</v>
      </c>
      <c r="D115" s="28">
        <v>2476.8000000000002</v>
      </c>
      <c r="E115" s="7">
        <v>5000</v>
      </c>
    </row>
    <row r="116" spans="1:5">
      <c r="A116" s="11">
        <v>115</v>
      </c>
      <c r="B116" s="28">
        <v>2534.4</v>
      </c>
      <c r="C116" s="7">
        <v>2500</v>
      </c>
      <c r="D116" s="28">
        <v>2534.4</v>
      </c>
      <c r="E116" s="7">
        <v>5000</v>
      </c>
    </row>
    <row r="117" spans="1:5">
      <c r="A117" s="11">
        <v>116</v>
      </c>
      <c r="B117" s="28">
        <v>2592</v>
      </c>
      <c r="C117" s="7">
        <v>2500</v>
      </c>
      <c r="D117" s="28">
        <v>2592</v>
      </c>
      <c r="E117" s="7">
        <v>5000</v>
      </c>
    </row>
    <row r="118" spans="1:5">
      <c r="A118" s="11">
        <v>117</v>
      </c>
      <c r="B118" s="28">
        <v>2649.6</v>
      </c>
      <c r="C118" s="7">
        <v>2500</v>
      </c>
      <c r="D118" s="28">
        <v>2649.6</v>
      </c>
      <c r="E118" s="7">
        <v>5000</v>
      </c>
    </row>
    <row r="119" spans="1:5">
      <c r="A119" s="11">
        <v>118</v>
      </c>
      <c r="B119" s="28">
        <v>2707.2</v>
      </c>
      <c r="C119" s="7">
        <v>2500</v>
      </c>
      <c r="D119" s="28">
        <v>2707.2</v>
      </c>
      <c r="E119" s="7">
        <v>5000</v>
      </c>
    </row>
    <row r="120" spans="1:5">
      <c r="A120" s="11">
        <v>119</v>
      </c>
      <c r="B120" s="28">
        <v>2764.8</v>
      </c>
      <c r="C120" s="7">
        <v>2500</v>
      </c>
      <c r="D120" s="28">
        <v>2764.8</v>
      </c>
      <c r="E120" s="7">
        <v>5000</v>
      </c>
    </row>
    <row r="121" spans="1:5">
      <c r="A121" s="11">
        <v>120</v>
      </c>
      <c r="B121" s="28">
        <v>2822.4</v>
      </c>
      <c r="C121" s="7">
        <v>2500</v>
      </c>
      <c r="D121" s="28">
        <v>2822.4</v>
      </c>
      <c r="E121" s="7">
        <v>5000</v>
      </c>
    </row>
    <row r="122" spans="1:5">
      <c r="A122" s="11">
        <v>121</v>
      </c>
      <c r="B122" s="28">
        <v>2880</v>
      </c>
      <c r="C122" s="7">
        <v>2500</v>
      </c>
      <c r="D122" s="28">
        <v>2880</v>
      </c>
      <c r="E122" s="7">
        <v>5000</v>
      </c>
    </row>
    <row r="123" spans="1:5">
      <c r="A123" s="11">
        <v>122</v>
      </c>
      <c r="B123" s="28">
        <v>2937.6</v>
      </c>
      <c r="C123" s="7">
        <v>2500</v>
      </c>
      <c r="D123" s="28">
        <v>2937.6</v>
      </c>
      <c r="E123" s="7">
        <v>5000</v>
      </c>
    </row>
    <row r="124" spans="1:5">
      <c r="A124" s="11">
        <v>123</v>
      </c>
      <c r="B124" s="28">
        <v>2995.2</v>
      </c>
      <c r="C124" s="7">
        <v>2500</v>
      </c>
      <c r="D124" s="28">
        <v>2995.2</v>
      </c>
      <c r="E124" s="7">
        <v>5000</v>
      </c>
    </row>
    <row r="125" spans="1:5">
      <c r="A125" s="11">
        <v>124</v>
      </c>
      <c r="B125" s="28">
        <v>3052.8</v>
      </c>
      <c r="C125" s="7">
        <v>2500</v>
      </c>
      <c r="D125" s="28">
        <v>3052.8</v>
      </c>
      <c r="E125" s="7">
        <v>5000</v>
      </c>
    </row>
    <row r="126" spans="1:5">
      <c r="A126" s="11">
        <v>125</v>
      </c>
      <c r="B126" s="28">
        <v>3110.4</v>
      </c>
      <c r="C126" s="7">
        <v>2500</v>
      </c>
      <c r="D126" s="28">
        <v>3110.4</v>
      </c>
      <c r="E126" s="7">
        <v>5000</v>
      </c>
    </row>
    <row r="127" spans="1:5">
      <c r="A127" s="11">
        <v>126</v>
      </c>
      <c r="B127" s="28">
        <v>3168</v>
      </c>
      <c r="C127" s="7">
        <v>2500</v>
      </c>
      <c r="D127" s="28">
        <v>3168</v>
      </c>
      <c r="E127" s="7">
        <v>5000</v>
      </c>
    </row>
    <row r="128" spans="1:5">
      <c r="A128" s="11">
        <v>127</v>
      </c>
      <c r="B128" s="28">
        <v>3225.6</v>
      </c>
      <c r="C128" s="7">
        <v>2500</v>
      </c>
      <c r="D128" s="28">
        <v>3225.6</v>
      </c>
      <c r="E128" s="7">
        <v>5000</v>
      </c>
    </row>
    <row r="129" spans="1:5">
      <c r="A129" s="11">
        <v>128</v>
      </c>
      <c r="B129" s="28">
        <v>3283.2</v>
      </c>
      <c r="C129" s="7">
        <v>2500</v>
      </c>
      <c r="D129" s="28">
        <v>3283.2</v>
      </c>
      <c r="E129" s="7">
        <v>5000</v>
      </c>
    </row>
    <row r="130" spans="1:5">
      <c r="A130" s="11">
        <v>129</v>
      </c>
      <c r="B130" s="28">
        <v>3340.8</v>
      </c>
      <c r="C130" s="7">
        <v>2500</v>
      </c>
      <c r="D130" s="28">
        <v>3340.8</v>
      </c>
      <c r="E130" s="7">
        <v>5000</v>
      </c>
    </row>
    <row r="131" spans="1:5">
      <c r="A131" s="11">
        <v>130</v>
      </c>
      <c r="B131" s="28">
        <v>3398.4</v>
      </c>
      <c r="C131" s="7">
        <v>2500</v>
      </c>
      <c r="D131" s="28">
        <v>3398.4</v>
      </c>
      <c r="E131" s="7">
        <v>5000</v>
      </c>
    </row>
    <row r="132" spans="1:5">
      <c r="A132" s="11">
        <v>131</v>
      </c>
      <c r="B132" s="28">
        <v>3456</v>
      </c>
      <c r="C132" s="7">
        <v>2500</v>
      </c>
      <c r="D132" s="28">
        <v>3456</v>
      </c>
      <c r="E132" s="7">
        <v>5000</v>
      </c>
    </row>
    <row r="133" spans="1:5">
      <c r="A133" s="11">
        <v>132</v>
      </c>
      <c r="B133" s="28">
        <v>3513.6</v>
      </c>
      <c r="C133" s="7">
        <v>2500</v>
      </c>
      <c r="D133" s="28">
        <v>3513.6</v>
      </c>
      <c r="E133" s="7">
        <v>5000</v>
      </c>
    </row>
    <row r="134" spans="1:5">
      <c r="A134" s="11">
        <v>133</v>
      </c>
      <c r="B134" s="28">
        <v>3571.2</v>
      </c>
      <c r="C134" s="7">
        <v>2500</v>
      </c>
      <c r="D134" s="28">
        <v>3571.2</v>
      </c>
      <c r="E134" s="7">
        <v>5000</v>
      </c>
    </row>
    <row r="135" spans="1:5">
      <c r="A135" s="11">
        <v>134</v>
      </c>
      <c r="B135" s="28">
        <v>3628.8</v>
      </c>
      <c r="C135" s="7">
        <v>2500</v>
      </c>
      <c r="D135" s="28">
        <v>3628.8</v>
      </c>
      <c r="E135" s="7">
        <v>5000</v>
      </c>
    </row>
    <row r="136" spans="1:5">
      <c r="A136" s="11">
        <v>135</v>
      </c>
      <c r="B136" s="28">
        <v>3686.4</v>
      </c>
      <c r="C136" s="7">
        <v>2500</v>
      </c>
      <c r="D136" s="28">
        <v>3686.4</v>
      </c>
      <c r="E136" s="7">
        <v>5000</v>
      </c>
    </row>
    <row r="137" spans="1:5">
      <c r="A137" s="11">
        <v>136</v>
      </c>
      <c r="B137" s="28">
        <v>3744</v>
      </c>
      <c r="C137" s="7">
        <v>2500</v>
      </c>
      <c r="D137" s="28">
        <v>3744</v>
      </c>
      <c r="E137" s="7">
        <v>5000</v>
      </c>
    </row>
    <row r="138" spans="1:5">
      <c r="A138" s="11">
        <v>137</v>
      </c>
      <c r="B138" s="28">
        <v>3801.6</v>
      </c>
      <c r="C138" s="7">
        <v>2500</v>
      </c>
      <c r="D138" s="28">
        <v>3801.6</v>
      </c>
      <c r="E138" s="7">
        <v>5000</v>
      </c>
    </row>
    <row r="139" spans="1:5">
      <c r="A139" s="11">
        <v>138</v>
      </c>
      <c r="B139" s="28">
        <v>3859.2</v>
      </c>
      <c r="C139" s="7">
        <v>2500</v>
      </c>
      <c r="D139" s="28">
        <v>3859.2</v>
      </c>
      <c r="E139" s="7">
        <v>5000</v>
      </c>
    </row>
    <row r="140" spans="1:5">
      <c r="A140" s="11">
        <v>139</v>
      </c>
      <c r="B140" s="28">
        <v>3916.8</v>
      </c>
      <c r="C140" s="7">
        <v>2500</v>
      </c>
      <c r="D140" s="28">
        <v>3916.8</v>
      </c>
      <c r="E140" s="7">
        <v>5000</v>
      </c>
    </row>
    <row r="141" spans="1:5" ht="15.75" thickBot="1">
      <c r="A141" s="11">
        <v>140</v>
      </c>
      <c r="B141" s="29">
        <v>3974.4</v>
      </c>
      <c r="C141" s="7">
        <v>2500</v>
      </c>
      <c r="D141" s="29">
        <v>3974.4</v>
      </c>
      <c r="E141" s="7">
        <v>5000</v>
      </c>
    </row>
  </sheetData>
  <pageMargins left="0.7" right="0.7" top="0.75" bottom="0.75" header="0.3" footer="0.3"/>
  <pageSetup paperSize="9" orientation="landscape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1efcba-a0fd-47dc-8fe1-c2ede89fff76" xsi:nil="true"/>
    <lcf76f155ced4ddcb4097134ff3c332f xmlns="ae142df6-5f37-48fe-9e1a-6eeddc824a1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A07116260E1E498C931AE9E20564D3" ma:contentTypeVersion="10" ma:contentTypeDescription="Crear nuevo documento." ma:contentTypeScope="" ma:versionID="f121dd4d1a4f2d8ab1689d55058b48e8">
  <xsd:schema xmlns:xsd="http://www.w3.org/2001/XMLSchema" xmlns:xs="http://www.w3.org/2001/XMLSchema" xmlns:p="http://schemas.microsoft.com/office/2006/metadata/properties" xmlns:ns2="ae142df6-5f37-48fe-9e1a-6eeddc824a14" xmlns:ns3="4b1efcba-a0fd-47dc-8fe1-c2ede89fff76" targetNamespace="http://schemas.microsoft.com/office/2006/metadata/properties" ma:root="true" ma:fieldsID="110fe498a8b3227560cdc2eff214d919" ns2:_="" ns3:_="">
    <xsd:import namespace="ae142df6-5f37-48fe-9e1a-6eeddc824a14"/>
    <xsd:import namespace="4b1efcba-a0fd-47dc-8fe1-c2ede89fff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142df6-5f37-48fe-9e1a-6eeddc824a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efd49586-4e9d-4401-97cc-84a6e35ca0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1efcba-a0fd-47dc-8fe1-c2ede89fff7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cb1a8d7-a1e6-4c39-87ca-78a0a679be94}" ma:internalName="TaxCatchAll" ma:showField="CatchAllData" ma:web="4b1efcba-a0fd-47dc-8fe1-c2ede89fff7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08F2B3-E991-4866-B86A-36CB37105456}"/>
</file>

<file path=customXml/itemProps2.xml><?xml version="1.0" encoding="utf-8"?>
<ds:datastoreItem xmlns:ds="http://schemas.openxmlformats.org/officeDocument/2006/customXml" ds:itemID="{5DDEDD0C-CE84-4B6B-A041-025236493F97}"/>
</file>

<file path=customXml/itemProps3.xml><?xml version="1.0" encoding="utf-8"?>
<ds:datastoreItem xmlns:ds="http://schemas.openxmlformats.org/officeDocument/2006/customXml" ds:itemID="{7A0DE845-05ED-48EF-95B9-4A9E2FC52E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puente</dc:creator>
  <cp:keywords/>
  <dc:description/>
  <cp:lastModifiedBy>dani.sanchez.marzoa</cp:lastModifiedBy>
  <cp:revision/>
  <dcterms:created xsi:type="dcterms:W3CDTF">2018-01-12T16:01:46Z</dcterms:created>
  <dcterms:modified xsi:type="dcterms:W3CDTF">2022-07-02T09:42:35Z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0x0101001CA07116260E1E498C931AE9E20564D3</vt:lpwstr>
  </property>
  <property fmtid="{D5CDD505-2E9C-101B-9397-08002B2CF9AE}" pid="3" name="MediaServiceImageTags">
    <vt:lpwstr/>
  </property>
</Properties>
</file>